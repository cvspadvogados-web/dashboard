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0.1 - Lista clientes - dossiers\"/>
    </mc:Choice>
  </mc:AlternateContent>
  <xr:revisionPtr revIDLastSave="0" documentId="13_ncr:1_{C876BE62-6F3D-4EE0-8D8F-27828ECE18D5}" xr6:coauthVersionLast="47" xr6:coauthVersionMax="47" xr10:uidLastSave="{00000000-0000-0000-0000-000000000000}"/>
  <bookViews>
    <workbookView xWindow="-110" yWindow="-110" windowWidth="38620" windowHeight="21100" tabRatio="599" firstSheet="1" activeTab="1" xr2:uid="{00000000-000D-0000-FFFF-FFFF00000000}"/>
  </bookViews>
  <sheets>
    <sheet name="Planilha2" sheetId="1" state="hidden" r:id="rId1"/>
    <sheet name="IRS 2025" sheetId="2" r:id="rId2"/>
    <sheet name="NÃO" sheetId="5" r:id="rId3"/>
    <sheet name="IRS 2023 OLD" sheetId="3" state="hidden" r:id="rId4"/>
    <sheet name="IRS 2023" sheetId="4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4" hidden="1">'IRS 2023'!$A$1:$AG$103</definedName>
    <definedName name="_xlnm._FilterDatabase" localSheetId="3" hidden="1">'IRS 2023 OLD'!$A$1:$AF$109</definedName>
    <definedName name="_xlnm._FilterDatabase" localSheetId="1" hidden="1">'IRS 2025'!$A$1:$AI$116</definedName>
    <definedName name="SN">'[1]Consulado ESP'!$AI$20:$AI$22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5" i="2" l="1"/>
  <c r="K73" i="2" l="1"/>
  <c r="K40" i="2" l="1"/>
  <c r="K68" i="2" l="1"/>
  <c r="K98" i="2" l="1"/>
  <c r="K54" i="2"/>
  <c r="K61" i="2"/>
  <c r="K44" i="2"/>
  <c r="K109" i="2"/>
  <c r="K62" i="2" l="1"/>
  <c r="K36" i="2" l="1"/>
  <c r="K9" i="2" l="1"/>
  <c r="K23" i="2" l="1"/>
  <c r="K15" i="2" l="1"/>
  <c r="K8" i="2" l="1"/>
  <c r="K82" i="2"/>
  <c r="K56" i="2"/>
  <c r="K79" i="2"/>
  <c r="AH103" i="4"/>
  <c r="J27" i="4"/>
  <c r="I27" i="4"/>
  <c r="XFD26" i="4"/>
  <c r="K67" i="2"/>
  <c r="K46" i="2"/>
  <c r="K45" i="2"/>
  <c r="K41" i="2"/>
  <c r="K11" i="2"/>
  <c r="K7" i="2"/>
</calcChain>
</file>

<file path=xl/sharedStrings.xml><?xml version="1.0" encoding="utf-8"?>
<sst xmlns="http://schemas.openxmlformats.org/spreadsheetml/2006/main" count="3123" uniqueCount="1097">
  <si>
    <t>Ref</t>
  </si>
  <si>
    <t>Cliente</t>
  </si>
  <si>
    <t>MODEL</t>
  </si>
  <si>
    <t>NOTAS</t>
  </si>
  <si>
    <t xml:space="preserve">CONTACTAR </t>
  </si>
  <si>
    <t>NIF</t>
  </si>
  <si>
    <t>SENHA AT</t>
  </si>
  <si>
    <t>EMAIL CLIENTE</t>
  </si>
  <si>
    <t>RESIDENCIAL FISCAL PARCIAL</t>
  </si>
  <si>
    <t>Executante</t>
  </si>
  <si>
    <t>Estado</t>
  </si>
  <si>
    <t>DOCS SUPORTE</t>
  </si>
  <si>
    <t>SUBMETIDO</t>
  </si>
  <si>
    <t>MOD 49</t>
  </si>
  <si>
    <t>DATA MOD 49</t>
  </si>
  <si>
    <t>SP2</t>
  </si>
  <si>
    <t>SP3</t>
  </si>
  <si>
    <t>NIF 3</t>
  </si>
  <si>
    <t>SP4</t>
  </si>
  <si>
    <t>NIF 4</t>
  </si>
  <si>
    <t>Anexo L</t>
  </si>
  <si>
    <t>VALIDADO</t>
  </si>
  <si>
    <t>N.º LIQUIDAÇÃO</t>
  </si>
  <si>
    <t xml:space="preserve">PAGAMENTO </t>
  </si>
  <si>
    <t>ENVIO NOTA LIQUIDAÇÃO</t>
  </si>
  <si>
    <t>NR</t>
  </si>
  <si>
    <t>EMAIL INICIAL - ESTADO</t>
  </si>
  <si>
    <t>EMAIL INICIAL DATA</t>
  </si>
  <si>
    <t>OBSV</t>
  </si>
  <si>
    <t>Divergências</t>
  </si>
  <si>
    <t>Data</t>
  </si>
  <si>
    <t>CAT A</t>
  </si>
  <si>
    <t>CAT B</t>
  </si>
  <si>
    <t>CAT F</t>
  </si>
  <si>
    <t>Só contas bancárias (Anexo J)</t>
  </si>
  <si>
    <t>ANEXO J</t>
  </si>
  <si>
    <t>CAT G</t>
  </si>
  <si>
    <t>ANEXO L</t>
  </si>
  <si>
    <t>FATURADO</t>
  </si>
  <si>
    <t>VALOR 2025</t>
  </si>
  <si>
    <t>VALOR 2026</t>
  </si>
  <si>
    <t>PAGO</t>
  </si>
  <si>
    <t>Consulting/CVSP</t>
  </si>
  <si>
    <t>FATURA (MF)</t>
  </si>
  <si>
    <t>KHAOU PHALLABOTH</t>
  </si>
  <si>
    <t>MODELO III</t>
  </si>
  <si>
    <t>290142601</t>
  </si>
  <si>
    <t>LIS2019PHAKHA1</t>
  </si>
  <si>
    <t>phallaboth@icloud.com</t>
  </si>
  <si>
    <t>JSP</t>
  </si>
  <si>
    <t>CONFIRMADO</t>
  </si>
  <si>
    <t>x</t>
  </si>
  <si>
    <t>MIRELA</t>
  </si>
  <si>
    <t>MWQBNJKS</t>
  </si>
  <si>
    <t>1974mirelastan@gmail.com</t>
  </si>
  <si>
    <t>RALPH HENRY SAHRMANN</t>
  </si>
  <si>
    <t>já falado</t>
  </si>
  <si>
    <t>EM FALTA</t>
  </si>
  <si>
    <t>X6XVPPEW298Q</t>
  </si>
  <si>
    <t>dragonsnine@lighthousecap.org</t>
  </si>
  <si>
    <t>MF</t>
  </si>
  <si>
    <t>?</t>
  </si>
  <si>
    <t>HEIDI</t>
  </si>
  <si>
    <t>GWVLPYZBPDTG</t>
  </si>
  <si>
    <t>haidji@gmail.com</t>
  </si>
  <si>
    <t>TAIYE SELASI</t>
  </si>
  <si>
    <t>Model II old clients 550</t>
  </si>
  <si>
    <t>C0c0@/content</t>
  </si>
  <si>
    <t>taiye.selasi@gmail.com</t>
  </si>
  <si>
    <t>insisti 02-06-2026</t>
  </si>
  <si>
    <t>Ver MOD 49</t>
  </si>
  <si>
    <t>SAFA</t>
  </si>
  <si>
    <t>safa2019</t>
  </si>
  <si>
    <t>SIM</t>
  </si>
  <si>
    <t>CONSULTING</t>
  </si>
  <si>
    <t>JONATHAN KENDLER</t>
  </si>
  <si>
    <t>CTUBFXVUWBRQ</t>
  </si>
  <si>
    <t>jkendler14@gmail.com</t>
  </si>
  <si>
    <t>HANNA</t>
  </si>
  <si>
    <t>SFPCHYEJLUVS</t>
  </si>
  <si>
    <t>JOHN ROGERS</t>
  </si>
  <si>
    <t>N/A</t>
  </si>
  <si>
    <t>KCFMWRKBFEXC</t>
  </si>
  <si>
    <t>jpandse@gmail.com</t>
  </si>
  <si>
    <t>SUSAN ROGERS</t>
  </si>
  <si>
    <t>1176susanrogers</t>
  </si>
  <si>
    <t>KAREN</t>
  </si>
  <si>
    <t>DOMINIC SALOLE</t>
  </si>
  <si>
    <t>mocky2018</t>
  </si>
  <si>
    <t>mockyrecordings@gmail.com</t>
  </si>
  <si>
    <t>DESIREE</t>
  </si>
  <si>
    <t>JULLIAN JOHNSON SPENCER</t>
  </si>
  <si>
    <t>289820499</t>
  </si>
  <si>
    <t>QYGYRSEPMQVJ</t>
  </si>
  <si>
    <t>julianpsjohnson@gmail.com</t>
  </si>
  <si>
    <t>JEAN MICHEL PROUST</t>
  </si>
  <si>
    <t>17-04-2026 - Conf telef Cliente vem a PT em Maio até 10/05</t>
  </si>
  <si>
    <t>QJJD88Z5L84H</t>
  </si>
  <si>
    <t>jmproust@icloud.com</t>
  </si>
  <si>
    <t>CVSP</t>
  </si>
  <si>
    <t>FEITO</t>
  </si>
  <si>
    <t>CARMEN MARTÍNEZ-BORDIÚ</t>
  </si>
  <si>
    <t>carmen2019</t>
  </si>
  <si>
    <t>cmbordiu@gmail.com</t>
  </si>
  <si>
    <t>consulting</t>
  </si>
  <si>
    <t>YANN REY</t>
  </si>
  <si>
    <t xml:space="preserve">EmaIl JSP </t>
  </si>
  <si>
    <t>298157942</t>
  </si>
  <si>
    <t>yann2019</t>
  </si>
  <si>
    <t>yann.rey@gmail.com</t>
  </si>
  <si>
    <t>COURTNEY</t>
  </si>
  <si>
    <t>294795650</t>
  </si>
  <si>
    <t>B3G1JeoWN–h@</t>
  </si>
  <si>
    <t>cbmrey@gmail.com</t>
  </si>
  <si>
    <t>ANTÓNIO EVANS</t>
  </si>
  <si>
    <t>PWLCZDAICRDB</t>
  </si>
  <si>
    <t>aevans@binarybits.com</t>
  </si>
  <si>
    <t>HENRIK ZILMER</t>
  </si>
  <si>
    <t>Email JSP</t>
  </si>
  <si>
    <t>Ei2B8W7f7#</t>
  </si>
  <si>
    <t>henrikzillmer@gmail.com</t>
  </si>
  <si>
    <t>JPD</t>
  </si>
  <si>
    <t>ANNA HUNGER</t>
  </si>
  <si>
    <t>306665999</t>
  </si>
  <si>
    <t>2BJU1PUCMWPX</t>
  </si>
  <si>
    <t>ANNA FRANZISKA HUNGER</t>
  </si>
  <si>
    <t>af.hunger@gmail.com</t>
  </si>
  <si>
    <t>JAY DU TOIT</t>
  </si>
  <si>
    <t>295635940</t>
  </si>
  <si>
    <t>AJNBPDCCUXVD</t>
  </si>
  <si>
    <t>jay@barschool.net</t>
  </si>
  <si>
    <t>MARK GREEN</t>
  </si>
  <si>
    <t>Model I NEW</t>
  </si>
  <si>
    <t>298594480</t>
  </si>
  <si>
    <t>GMNCXIQALZHR</t>
  </si>
  <si>
    <t>markportugal@protonmail.com</t>
  </si>
  <si>
    <t>JEFF CROCKER</t>
  </si>
  <si>
    <t>HNURSJWRCKWK</t>
  </si>
  <si>
    <t>jeffrey_crocker@hotmail.com</t>
  </si>
  <si>
    <t>VIVIANA CORDERO</t>
  </si>
  <si>
    <t>303100940</t>
  </si>
  <si>
    <t>DT1B5P5SHQ82</t>
  </si>
  <si>
    <t>vivianacorderoe@gmail.com</t>
  </si>
  <si>
    <t>FERN</t>
  </si>
  <si>
    <t>já falado+B1</t>
  </si>
  <si>
    <t xml:space="preserve">298609851 </t>
  </si>
  <si>
    <t>QNTBVBIRVYBB</t>
  </si>
  <si>
    <t>ferntrelfa@googlemail.com</t>
  </si>
  <si>
    <t>TONY SHARROCK</t>
  </si>
  <si>
    <t>297282743</t>
  </si>
  <si>
    <t>VWKPWUIIPCXQ</t>
  </si>
  <si>
    <t>tonysharrock@me.com</t>
  </si>
  <si>
    <t>MICHAEL DAVID ROBERTS</t>
  </si>
  <si>
    <t>304795887</t>
  </si>
  <si>
    <t>97BJ6RB5JZEZ</t>
  </si>
  <si>
    <t>juansancheztk@hotmail.com</t>
  </si>
  <si>
    <t>OTACÍLIO SOARES</t>
  </si>
  <si>
    <t>IYFIVIAZBTZB</t>
  </si>
  <si>
    <t>otaciliossfilho@gmail.com</t>
  </si>
  <si>
    <t>BXRPNNPAJGPG</t>
  </si>
  <si>
    <t>BRUNO MIRANDA E SILVA</t>
  </si>
  <si>
    <t>???</t>
  </si>
  <si>
    <t>NFFCJIGBIQGC</t>
  </si>
  <si>
    <t>TOM DYER</t>
  </si>
  <si>
    <t>WRTM93L6KU3H</t>
  </si>
  <si>
    <t>tom@barschool.net</t>
  </si>
  <si>
    <t>CODY HOFFMAN</t>
  </si>
  <si>
    <t>304289000</t>
  </si>
  <si>
    <t>CRMYHMYJPBYI</t>
  </si>
  <si>
    <t>codyhof@gmail.com</t>
  </si>
  <si>
    <t>SHANNON</t>
  </si>
  <si>
    <t>304290300</t>
  </si>
  <si>
    <t>WMRYEKWHKOUA</t>
  </si>
  <si>
    <t>SHANNON MACLEAN ARNOTT</t>
  </si>
  <si>
    <t>WNRYEKWHKOUA</t>
  </si>
  <si>
    <t>shannonlmaclean@gmail.com</t>
  </si>
  <si>
    <t>HAL MARTIN</t>
  </si>
  <si>
    <t xml:space="preserve">305645579 </t>
  </si>
  <si>
    <t>CFDD8GTBGNGG</t>
  </si>
  <si>
    <t>halmartin8261@gmail.com</t>
  </si>
  <si>
    <t>EDWIN DEDEAUX</t>
  </si>
  <si>
    <t>UGEPJ1QXXW7R</t>
  </si>
  <si>
    <t>X</t>
  </si>
  <si>
    <t>EMITIDA</t>
  </si>
  <si>
    <t xml:space="preserve">ELEANOR ELIZABETH FROELICH </t>
  </si>
  <si>
    <t>Já falado</t>
  </si>
  <si>
    <t>289539307</t>
  </si>
  <si>
    <t>wRTM93L6KU3H!</t>
  </si>
  <si>
    <t>eleanor.froelich@me.com</t>
  </si>
  <si>
    <t>CHRISTIAN TANZER</t>
  </si>
  <si>
    <t>289539498</t>
  </si>
  <si>
    <t>NVJETQ8LR5RF</t>
  </si>
  <si>
    <t>BLASCO</t>
  </si>
  <si>
    <t>305747304</t>
  </si>
  <si>
    <t>XP4F8AQZAZAL</t>
  </si>
  <si>
    <t>blasco.dev.tg@gmail.com</t>
  </si>
  <si>
    <t>TIMO MEYER</t>
  </si>
  <si>
    <t>305808753</t>
  </si>
  <si>
    <t>TRWDIHDUWNFS</t>
  </si>
  <si>
    <t>tmeyer78@gmail.com</t>
  </si>
  <si>
    <t>EDWARD ALLAN VOORHEES</t>
  </si>
  <si>
    <t>306352060</t>
  </si>
  <si>
    <t>2L8H1PJWYHFV</t>
  </si>
  <si>
    <t>tvoorhees@hotmail.com</t>
  </si>
  <si>
    <t>MCV</t>
  </si>
  <si>
    <t>TANYA</t>
  </si>
  <si>
    <t>1347</t>
  </si>
  <si>
    <t>ANDY GENT</t>
  </si>
  <si>
    <t>LVUVFLJPUGTH</t>
  </si>
  <si>
    <t>andyandygent@gmail.com</t>
  </si>
  <si>
    <t>YVETTE</t>
  </si>
  <si>
    <t>5DYLB6FCA3MN</t>
  </si>
  <si>
    <t>400</t>
  </si>
  <si>
    <t>MOHAMED MOBARAK</t>
  </si>
  <si>
    <t xml:space="preserve">306405652 </t>
  </si>
  <si>
    <t>Q3XNRDVE3F3HC</t>
  </si>
  <si>
    <t>mo@mobarak.com</t>
  </si>
  <si>
    <t>Kelly ELIZABETH CLARK</t>
  </si>
  <si>
    <t>306407418</t>
  </si>
  <si>
    <t>XZHJ99A6HZE37</t>
  </si>
  <si>
    <t>CONSULTING - mas pago CVSP</t>
  </si>
  <si>
    <t>Fatura - CVSP - Feito</t>
  </si>
  <si>
    <t>MARIUS NIEMANN</t>
  </si>
  <si>
    <t>306507943</t>
  </si>
  <si>
    <t>698TNN8ZPYAG</t>
  </si>
  <si>
    <t>m.niemann@outlook.com</t>
  </si>
  <si>
    <t>BRIGITTE REINHARD</t>
  </si>
  <si>
    <t>308663977</t>
  </si>
  <si>
    <t>QQJZKEDHHDUR</t>
  </si>
  <si>
    <t>b.g.r.interiors@gmail.com</t>
  </si>
  <si>
    <t>600</t>
  </si>
  <si>
    <t>GONZALO BENAVIDES</t>
  </si>
  <si>
    <t>307393844</t>
  </si>
  <si>
    <t>QLGZAFBAPYZX</t>
  </si>
  <si>
    <t>micagon@gmail.com</t>
  </si>
  <si>
    <t>MICAELA FLORES</t>
  </si>
  <si>
    <t>307438554</t>
  </si>
  <si>
    <t>KNNTCNPHRJDG</t>
  </si>
  <si>
    <t>ENVIAR</t>
  </si>
  <si>
    <t>CC</t>
  </si>
  <si>
    <t>NICOLAS BALDWIN</t>
  </si>
  <si>
    <t>307759288</t>
  </si>
  <si>
    <t>C2R16BV3VUKP</t>
  </si>
  <si>
    <t>nick.baldwin@live.co.uk</t>
  </si>
  <si>
    <t>MARYHE</t>
  </si>
  <si>
    <t>318569302</t>
  </si>
  <si>
    <t>UJHQF4S56SDQ</t>
  </si>
  <si>
    <t>ENVIADO</t>
  </si>
  <si>
    <t>JOHANNES MARINUS KOOPMAN</t>
  </si>
  <si>
    <t>DUSWBXUPEAHW</t>
  </si>
  <si>
    <t>JMK@conquista.solar</t>
  </si>
  <si>
    <t>100</t>
  </si>
  <si>
    <t>POLINA TITOVSKAIA</t>
  </si>
  <si>
    <t>B9KJQHA5EHFX</t>
  </si>
  <si>
    <t>accofpauline@gmail.com</t>
  </si>
  <si>
    <t>JOHN WALPOLE</t>
  </si>
  <si>
    <t>299054764</t>
  </si>
  <si>
    <t>IVUXUYUPTJMB</t>
  </si>
  <si>
    <t>johnfwalpole@gmail.com</t>
  </si>
  <si>
    <t>CAROLINE KUNG</t>
  </si>
  <si>
    <t>252922743</t>
  </si>
  <si>
    <t>D1diK!ko</t>
  </si>
  <si>
    <t>clobokung@gmail.com</t>
  </si>
  <si>
    <t>,</t>
  </si>
  <si>
    <t>1411</t>
  </si>
  <si>
    <t>MARIA TERESA ROJAS</t>
  </si>
  <si>
    <t>JÁ FALADO</t>
  </si>
  <si>
    <t>BYuhv8ZdtzuZ6D</t>
  </si>
  <si>
    <t>GREGORY KIRCHHOFF</t>
  </si>
  <si>
    <t>2F42GERULZE5</t>
  </si>
  <si>
    <t>gregory@kimotionpictures.com</t>
  </si>
  <si>
    <t>JOHNNY QUACH</t>
  </si>
  <si>
    <t>304840041</t>
  </si>
  <si>
    <t>RALP2E85BDY3</t>
  </si>
  <si>
    <t>size12font@gmail.com</t>
  </si>
  <si>
    <t>THOMAS HALIKIAS</t>
  </si>
  <si>
    <t>310080983</t>
  </si>
  <si>
    <t>s7B7H189LEXZ!</t>
  </si>
  <si>
    <t>thalikias@gmail.com</t>
  </si>
  <si>
    <t>JESSICA ALEXANDRA HALIKIAS</t>
  </si>
  <si>
    <t>1447</t>
  </si>
  <si>
    <t>LEO SOLETTI</t>
  </si>
  <si>
    <t>Enviado</t>
  </si>
  <si>
    <t>312593872</t>
  </si>
  <si>
    <t>82YRKQKH2ELS</t>
  </si>
  <si>
    <t>550</t>
  </si>
  <si>
    <t>ALEXEY KIYASHKO</t>
  </si>
  <si>
    <t>311198929</t>
  </si>
  <si>
    <t>9Y7HPWEZSSWF</t>
  </si>
  <si>
    <t>AlexeyVK2504@protonmail.com</t>
  </si>
  <si>
    <t>26-03-2026</t>
  </si>
  <si>
    <t xml:space="preserve">WILLIAM JOHN KIBBLER </t>
  </si>
  <si>
    <t>william@libtechnologies.io</t>
  </si>
  <si>
    <t>BEN TAUB</t>
  </si>
  <si>
    <t>304363480</t>
  </si>
  <si>
    <t>bentaub91@gmail.com</t>
  </si>
  <si>
    <t>SOPHIE</t>
  </si>
  <si>
    <t>330376160</t>
  </si>
  <si>
    <t xml:space="preserve">Sophie2025* </t>
  </si>
  <si>
    <t>500€</t>
  </si>
  <si>
    <t>DMITRI STEPANOV (ARROG)</t>
  </si>
  <si>
    <t>285799851</t>
  </si>
  <si>
    <t>U14AWQFUCZH9</t>
  </si>
  <si>
    <t>dmitryst@icloud.com</t>
  </si>
  <si>
    <t>insisti 03-06</t>
  </si>
  <si>
    <t>CATHARINA STUNTZ</t>
  </si>
  <si>
    <t>314409106</t>
  </si>
  <si>
    <t>LCXDQNDRIJEC</t>
  </si>
  <si>
    <t>catharina.stuntz@outlook.de</t>
  </si>
  <si>
    <t>Simulação dos 2 está feita</t>
  </si>
  <si>
    <t>JOSÉ RÁMON TORRALBO</t>
  </si>
  <si>
    <t>316437425</t>
  </si>
  <si>
    <t>RPVCIYDGAUEK</t>
  </si>
  <si>
    <t>jramon.torralbo@gmail.com</t>
  </si>
  <si>
    <t>ELENA</t>
  </si>
  <si>
    <t>NBWRFJHGQVPV</t>
  </si>
  <si>
    <t>MICHAEL STEINER</t>
  </si>
  <si>
    <t>308621409</t>
  </si>
  <si>
    <t>USAQCIYIPIKG</t>
  </si>
  <si>
    <t>m.steiner@msbc.info</t>
  </si>
  <si>
    <t>Nadine</t>
  </si>
  <si>
    <t>308576233</t>
  </si>
  <si>
    <t>311473270</t>
  </si>
  <si>
    <t>17MSE%Fatura</t>
  </si>
  <si>
    <t>311473916</t>
  </si>
  <si>
    <t xml:space="preserve">20LMSE%Fatura </t>
  </si>
  <si>
    <t xml:space="preserve">FILIMENA RADONJANIN-STOJMIROVA </t>
  </si>
  <si>
    <t>310765684</t>
  </si>
  <si>
    <t>zsPLoR84%36H</t>
  </si>
  <si>
    <t>filimena@feydom.com</t>
  </si>
  <si>
    <t xml:space="preserve">REDHA MOALI </t>
  </si>
  <si>
    <t>317580230</t>
  </si>
  <si>
    <t>redha.moali@gmail.com</t>
  </si>
  <si>
    <t>FALTA DOCS JÁ INSISTI</t>
  </si>
  <si>
    <t>LELAND FRANK BROWN</t>
  </si>
  <si>
    <t>296655961</t>
  </si>
  <si>
    <t>YNSRRBPGOFKM</t>
  </si>
  <si>
    <t>lelandbrown@yahoo.com</t>
  </si>
  <si>
    <t xml:space="preserve">LORENZO EDUARDO SHAPIRO SHEIN </t>
  </si>
  <si>
    <t>FALTAM 3 IRS</t>
  </si>
  <si>
    <t>305965573</t>
  </si>
  <si>
    <t>lorenzoshapiroshein@gmail.com</t>
  </si>
  <si>
    <t>PETER FORDOS</t>
  </si>
  <si>
    <t>314897186</t>
  </si>
  <si>
    <t>7J56ZLF1WEUG</t>
  </si>
  <si>
    <t>peterfordos@hotmail.com</t>
  </si>
  <si>
    <t>SCARLET LACEY</t>
  </si>
  <si>
    <t>314903062</t>
  </si>
  <si>
    <t>RV3A8UPU4E7E</t>
  </si>
  <si>
    <t>MILENA C. OPHULS</t>
  </si>
  <si>
    <t>307757528</t>
  </si>
  <si>
    <t>5F1KP7JZ8THL33</t>
  </si>
  <si>
    <t>mcophuls@gmail.com</t>
  </si>
  <si>
    <t>JULIA DE CLERK-SACHSEE</t>
  </si>
  <si>
    <t>318087162</t>
  </si>
  <si>
    <t>D2TNYCBTEBMJ</t>
  </si>
  <si>
    <t>juliadcs@gmail.com</t>
  </si>
  <si>
    <t>MARCOS ANTÓNIO VAZ SALLES</t>
  </si>
  <si>
    <t>ecX6BXRtC3XeJQw</t>
  </si>
  <si>
    <t>msalles@gmail.com</t>
  </si>
  <si>
    <t>LORENZO MADRIDEJOS SOLER</t>
  </si>
  <si>
    <t>Enviar Invoice</t>
  </si>
  <si>
    <t>310698820</t>
  </si>
  <si>
    <t>Lore7339196@</t>
  </si>
  <si>
    <t>lmadridejos@amakap.com</t>
  </si>
  <si>
    <t>a aguardar</t>
  </si>
  <si>
    <t xml:space="preserve">ONUR MAHMUTLUOGLU </t>
  </si>
  <si>
    <t>319396185</t>
  </si>
  <si>
    <t>Onur1979@gmail.com</t>
  </si>
  <si>
    <t>insiti 12-06 MF</t>
  </si>
  <si>
    <t>PEDRO CUNHA SANTOS</t>
  </si>
  <si>
    <t>KEFCJGBLMTUJ</t>
  </si>
  <si>
    <t>pesan76@gmail.com</t>
  </si>
  <si>
    <t>Clarisse Biazzi Lu</t>
  </si>
  <si>
    <t>KEFCJGBLMTUJ@1c</t>
  </si>
  <si>
    <t>450</t>
  </si>
  <si>
    <t>ELIA BORRAS</t>
  </si>
  <si>
    <t>321809025</t>
  </si>
  <si>
    <t>QDYDCKK7SVWB</t>
  </si>
  <si>
    <t>eliaborras@gmail.com</t>
  </si>
  <si>
    <t>MILES JOHNSON</t>
  </si>
  <si>
    <t>322785383</t>
  </si>
  <si>
    <t>JXWZCUKAOMLZ</t>
  </si>
  <si>
    <t>miles.johnson@me.com</t>
  </si>
  <si>
    <t>CHARLOTTE</t>
  </si>
  <si>
    <t>322353874</t>
  </si>
  <si>
    <t>XX</t>
  </si>
  <si>
    <t>JORGEN CHRISTIAN JUUL</t>
  </si>
  <si>
    <t>322126126</t>
  </si>
  <si>
    <t>jcj@cardlay.com</t>
  </si>
  <si>
    <t>JAN PAUL WENTZ</t>
  </si>
  <si>
    <t>J298479354N</t>
  </si>
  <si>
    <t>jan@janwentz.com</t>
  </si>
  <si>
    <t>MIGUEL ANGEL CORTÉS CABAÑERO</t>
  </si>
  <si>
    <t>B3G1JeoWN-h2</t>
  </si>
  <si>
    <t>mangelcortes@gmail.com</t>
  </si>
  <si>
    <t>CELIA</t>
  </si>
  <si>
    <t>323186351</t>
  </si>
  <si>
    <t>JHR8M5TC4F2U</t>
  </si>
  <si>
    <t xml:space="preserve">NICK SABINE </t>
  </si>
  <si>
    <t>300920806</t>
  </si>
  <si>
    <t>nick@nicksabine.coach</t>
  </si>
  <si>
    <t xml:space="preserve">GEERT SCHUTE </t>
  </si>
  <si>
    <t>322432480</t>
  </si>
  <si>
    <t>gschute@icloud.com</t>
  </si>
  <si>
    <t>FABIENNE SWARTZ</t>
  </si>
  <si>
    <t>322728118</t>
  </si>
  <si>
    <t>fabiswartz@gmail.com</t>
  </si>
  <si>
    <t>MAMDOUHA AHDAB</t>
  </si>
  <si>
    <t>318991608</t>
  </si>
  <si>
    <t>douha@nellavetrina.com</t>
  </si>
  <si>
    <t>JAN DEMIDOV</t>
  </si>
  <si>
    <t>323062237</t>
  </si>
  <si>
    <t>mig@jankjr.dk</t>
  </si>
  <si>
    <t>HENRIK SKOVKEJSER</t>
  </si>
  <si>
    <t>323520812</t>
  </si>
  <si>
    <t>henrikskovkejser@gmail.com</t>
  </si>
  <si>
    <t>LOTTE</t>
  </si>
  <si>
    <t>323521010</t>
  </si>
  <si>
    <t>GILBERT BROVAR</t>
  </si>
  <si>
    <t>323366651</t>
  </si>
  <si>
    <t>brovarg@gmail.com</t>
  </si>
  <si>
    <t>ABRAHAM SCHOTTS</t>
  </si>
  <si>
    <t>311328873</t>
  </si>
  <si>
    <t>IYWGSLPHWZUV</t>
  </si>
  <si>
    <t>bram@thinklithe.com</t>
  </si>
  <si>
    <t>MORTEN MEISNER</t>
  </si>
  <si>
    <t>326035508</t>
  </si>
  <si>
    <t>mortenmeisnerj@gmail.com</t>
  </si>
  <si>
    <t>ALEJANDRA</t>
  </si>
  <si>
    <t>326034820</t>
  </si>
  <si>
    <t>OLIINYK OLEKSANDR SERHIIOVYCH</t>
  </si>
  <si>
    <t>FZBGILYZLHKL</t>
  </si>
  <si>
    <t>500</t>
  </si>
  <si>
    <t>DAN WILLIAMS</t>
  </si>
  <si>
    <t>309842484</t>
  </si>
  <si>
    <t>VYDWKFYUCAWT</t>
  </si>
  <si>
    <t>dan.williams@comnexa.co.uk</t>
  </si>
  <si>
    <t>DMITRI STEPANOV</t>
  </si>
  <si>
    <t>Rever</t>
  </si>
  <si>
    <t>323026060</t>
  </si>
  <si>
    <t>VWJ3E19RL7TC</t>
  </si>
  <si>
    <t>Stepanoff@agreen.ua</t>
  </si>
  <si>
    <t>316376540</t>
  </si>
  <si>
    <t>TamaGochi#88</t>
  </si>
  <si>
    <t>JAK KORNFILT</t>
  </si>
  <si>
    <t>291984380</t>
  </si>
  <si>
    <t>YPISDGSHLFCE</t>
  </si>
  <si>
    <t>jkornfilt@gmail.com</t>
  </si>
  <si>
    <t>ILONA</t>
  </si>
  <si>
    <t>291984231</t>
  </si>
  <si>
    <t>DYRZTSZTQPCE</t>
  </si>
  <si>
    <t>LESLIE STROUD</t>
  </si>
  <si>
    <t>305518577</t>
  </si>
  <si>
    <t>JKNSYKMDJXOK</t>
  </si>
  <si>
    <t>leslie@stroudinc.com</t>
  </si>
  <si>
    <t xml:space="preserve">CHRIS STROUD </t>
  </si>
  <si>
    <t>MARCELO GUEDES FILHO</t>
  </si>
  <si>
    <t>304857220</t>
  </si>
  <si>
    <t>marcelo.guedes03@hotmail.com</t>
  </si>
  <si>
    <t>NIR BLUMBERG</t>
  </si>
  <si>
    <t>327046570</t>
  </si>
  <si>
    <t>nirblumberger@gmail.com</t>
  </si>
  <si>
    <t>ALYSHA CASSIS SHOW</t>
  </si>
  <si>
    <t>PrincipeReal1</t>
  </si>
  <si>
    <t>a.cassisshaw@gmail.com</t>
  </si>
  <si>
    <t>Hamburger12!</t>
  </si>
  <si>
    <t>900</t>
  </si>
  <si>
    <t>MICHAEL WALKER</t>
  </si>
  <si>
    <t>321603028</t>
  </si>
  <si>
    <t>q7E7DqDU1T3ydNbj</t>
  </si>
  <si>
    <t>michael@brandgeneering.com</t>
  </si>
  <si>
    <t>DESISTIU A POSTERIORI</t>
  </si>
  <si>
    <t>DIANA DUTHWEILER</t>
  </si>
  <si>
    <t>323449204</t>
  </si>
  <si>
    <t>EJZE56VY42N6</t>
  </si>
  <si>
    <t>diana.duthweiler@googlemail.com</t>
  </si>
  <si>
    <t>ALEV YEMINICI</t>
  </si>
  <si>
    <t>[PACK]</t>
  </si>
  <si>
    <t>294222871</t>
  </si>
  <si>
    <t>alevyemenici@gmail.com</t>
  </si>
  <si>
    <t>não faz este ano</t>
  </si>
  <si>
    <t>10-07-2025</t>
  </si>
  <si>
    <t>SAMANTHA SLATER</t>
  </si>
  <si>
    <t>327265477</t>
  </si>
  <si>
    <t>EIPRWBSLDAFx1*</t>
  </si>
  <si>
    <t>sammyslater@hotmail.com</t>
  </si>
  <si>
    <t>LEE MARTINA</t>
  </si>
  <si>
    <t>N3ZHAY3C1YDV</t>
  </si>
  <si>
    <t>leedavidmartina@gmail.com</t>
  </si>
  <si>
    <t>ALBERTO CUESTA CAÑADA</t>
  </si>
  <si>
    <t>DP7DX4FFTL7P</t>
  </si>
  <si>
    <t>mail@albertocuesta.es</t>
  </si>
  <si>
    <t>eCYPRSVRVIXK!2</t>
  </si>
  <si>
    <t>MARIANA NAZARIAN</t>
  </si>
  <si>
    <t>nazaryan@amgen.com</t>
  </si>
  <si>
    <t>WOUT SNIJDERS</t>
  </si>
  <si>
    <t>YXZH68TS9594</t>
  </si>
  <si>
    <t>wout.snijders@gmail.com</t>
  </si>
  <si>
    <t>1721</t>
  </si>
  <si>
    <t>KIU COATES</t>
  </si>
  <si>
    <t>PQWMBXDJVWKA</t>
  </si>
  <si>
    <t>kiu@kiucoates.com</t>
  </si>
  <si>
    <t>NUNO DIMAS (NIR)</t>
  </si>
  <si>
    <t>SDW75LTP93UR</t>
  </si>
  <si>
    <t>MONICA</t>
  </si>
  <si>
    <t>LMHQRAAW7ZHH</t>
  </si>
  <si>
    <t>JAY HAYDEN</t>
  </si>
  <si>
    <t>ABJ4E19P3AE7</t>
  </si>
  <si>
    <t>jayh2217@gmail.com</t>
  </si>
  <si>
    <t>304090190</t>
  </si>
  <si>
    <t>TRB4Y29SMUZY</t>
  </si>
  <si>
    <t>JUAN CARLOS FELIX</t>
  </si>
  <si>
    <t>KDVNSR4A4XR3</t>
  </si>
  <si>
    <t>juancarlos.felix@icloud.com</t>
  </si>
  <si>
    <t>Martha</t>
  </si>
  <si>
    <t>WCLB3FLNVS9C</t>
  </si>
  <si>
    <t>MARTIN KAINE</t>
  </si>
  <si>
    <t>OMOUIEIYJOGY</t>
  </si>
  <si>
    <t>martinkaine2@gmail.com</t>
  </si>
  <si>
    <t>BEVERLY</t>
  </si>
  <si>
    <t>YHNYIPFBSYPU</t>
  </si>
  <si>
    <t>SAMY KATZ</t>
  </si>
  <si>
    <t>Samy/1966</t>
  </si>
  <si>
    <t>samy@davanas.com.br</t>
  </si>
  <si>
    <t>ERIK VALK</t>
  </si>
  <si>
    <t>GB05hvrescola70!</t>
  </si>
  <si>
    <t>erik@principelle.com</t>
  </si>
  <si>
    <t>Wietske</t>
  </si>
  <si>
    <t>HVLT-R48**s</t>
  </si>
  <si>
    <t>SEBASTIAN HENNING</t>
  </si>
  <si>
    <t>322905052</t>
  </si>
  <si>
    <t>hennig@interim-hr-management.de</t>
  </si>
  <si>
    <t>FREDERIK CROWTHER</t>
  </si>
  <si>
    <t>57S14LK5NTU5</t>
  </si>
  <si>
    <t>freddie@polkra.com</t>
  </si>
  <si>
    <t>ADRIAN LENNING</t>
  </si>
  <si>
    <t>Já enviado</t>
  </si>
  <si>
    <t>Mayanorah1619!</t>
  </si>
  <si>
    <t>Adrian.Lenning@odfjell.com</t>
  </si>
  <si>
    <t>0</t>
  </si>
  <si>
    <t>1000€</t>
  </si>
  <si>
    <t>1788</t>
  </si>
  <si>
    <t>RENATA GROSCHE</t>
  </si>
  <si>
    <t>FALADO COM JSP</t>
  </si>
  <si>
    <t>Portal2026!</t>
  </si>
  <si>
    <t>1789</t>
  </si>
  <si>
    <t>JANICE WRIGHT</t>
  </si>
  <si>
    <t>Robty48*</t>
  </si>
  <si>
    <t>1794</t>
  </si>
  <si>
    <t>PAULA PANTOJA</t>
  </si>
  <si>
    <t>Almoasrm19!PT</t>
  </si>
  <si>
    <t>mpantojapaula@gmail.com</t>
  </si>
  <si>
    <t>1800</t>
  </si>
  <si>
    <t>DAVID RAVIV</t>
  </si>
  <si>
    <t>david@raviv.co</t>
  </si>
  <si>
    <t xml:space="preserve">JOE PARKINSON </t>
  </si>
  <si>
    <t>não respondeu</t>
  </si>
  <si>
    <t>Joe.Parkinson@wsj.com</t>
  </si>
  <si>
    <t>IFICIS</t>
  </si>
  <si>
    <t>DAMJAN KUZNAR</t>
  </si>
  <si>
    <t>335561993</t>
  </si>
  <si>
    <t>damjan.kuznar@gmail.com</t>
  </si>
  <si>
    <t>TONY GEBELY</t>
  </si>
  <si>
    <t>RpZE8J.T.vpucoCc</t>
  </si>
  <si>
    <t>tony.gebely@gmail.com</t>
  </si>
  <si>
    <t>KATE</t>
  </si>
  <si>
    <t>322415233</t>
  </si>
  <si>
    <t>GEORGE PICKFORD</t>
  </si>
  <si>
    <t>328094870</t>
  </si>
  <si>
    <t>Mc+675223</t>
  </si>
  <si>
    <t>insisti 11-06 MF</t>
  </si>
  <si>
    <t>NÃO CONFIRMADOS - NÃO FAZEM Tax Return connosco</t>
  </si>
  <si>
    <t>CHRISTINA ENDER</t>
  </si>
  <si>
    <t>322567610</t>
  </si>
  <si>
    <t>ender.christina@googlemail.com</t>
  </si>
  <si>
    <t>GUY WESTERN</t>
  </si>
  <si>
    <t>323455808</t>
  </si>
  <si>
    <t>JONATHAN TOPLEY-BIRD</t>
  </si>
  <si>
    <t>323367151</t>
  </si>
  <si>
    <t>CHARLIE DE RUSETT</t>
  </si>
  <si>
    <t>326190678</t>
  </si>
  <si>
    <t>ZEYNEP KORKUT</t>
  </si>
  <si>
    <t>291185142ZEYNEP</t>
  </si>
  <si>
    <t>KATHARINA KIENBOECK</t>
  </si>
  <si>
    <t>306219557</t>
  </si>
  <si>
    <t>VALERIIA PITIAKOVA</t>
  </si>
  <si>
    <t>VALERIIA87</t>
  </si>
  <si>
    <t>pitiakova@gmail.com</t>
  </si>
  <si>
    <t>NÃO CONFIRMOU</t>
  </si>
  <si>
    <t>Dossier</t>
  </si>
  <si>
    <t>NÃO</t>
  </si>
  <si>
    <t>Email</t>
  </si>
  <si>
    <t>Docs</t>
  </si>
  <si>
    <t>Confirmado</t>
  </si>
  <si>
    <t>Email contacto</t>
  </si>
  <si>
    <t>Entidade</t>
  </si>
  <si>
    <t>CONTAS BANCÁRIAS</t>
  </si>
  <si>
    <t>Cat A</t>
  </si>
  <si>
    <t>Cat B</t>
  </si>
  <si>
    <t>Cat F</t>
  </si>
  <si>
    <t>Cat G</t>
  </si>
  <si>
    <t>Anexo J</t>
  </si>
  <si>
    <t>Crypyto &gt;365</t>
  </si>
  <si>
    <t>LIQUIDAÇÃO</t>
  </si>
  <si>
    <t>DATA LIQUIDAÇÃO</t>
  </si>
  <si>
    <t>VALOR LIQ</t>
  </si>
  <si>
    <t>Reembolso AT 2023</t>
  </si>
  <si>
    <t>OBS1</t>
  </si>
  <si>
    <t>ENCERRAR</t>
  </si>
  <si>
    <t>Pagamento            Cliente ou CVSP</t>
  </si>
  <si>
    <t>Valor recebido Wallet</t>
  </si>
  <si>
    <t>Referência</t>
  </si>
  <si>
    <t>VALOR</t>
  </si>
  <si>
    <t>Ö</t>
  </si>
  <si>
    <t>CAM/JSP</t>
  </si>
  <si>
    <t>CAM</t>
  </si>
  <si>
    <t>00-03-2023</t>
  </si>
  <si>
    <t>AV/JSP</t>
  </si>
  <si>
    <t>SIM(14/06/2024)</t>
  </si>
  <si>
    <t>22-06-2024 - confirmado por whatsapp</t>
  </si>
  <si>
    <t>MOD 49 22-06-2024</t>
  </si>
  <si>
    <t>C0c0/content</t>
  </si>
  <si>
    <t>20-06-2023</t>
  </si>
  <si>
    <t>400€</t>
  </si>
  <si>
    <t>NIKKIE ROGERS</t>
  </si>
  <si>
    <t>HXAZKYXHXDYM</t>
  </si>
  <si>
    <t>KAREN ROGERS</t>
  </si>
  <si>
    <t>DG3WDZ46BUB5</t>
  </si>
  <si>
    <t>ROSÁLIA</t>
  </si>
  <si>
    <t>NADAV</t>
  </si>
  <si>
    <t>simhoni2019</t>
  </si>
  <si>
    <t xml:space="preserve">Tali </t>
  </si>
  <si>
    <t>NÃO - 31-07-2023</t>
  </si>
  <si>
    <t>Email 04-06-2024; Call Sabela</t>
  </si>
  <si>
    <t>295684569</t>
  </si>
  <si>
    <t>SIM(24/06/2024)</t>
  </si>
  <si>
    <t>300S/IVA</t>
  </si>
  <si>
    <t>SIM(19/06/2024)</t>
  </si>
  <si>
    <t>Email 04-06-2024; JSP 07-06-2024</t>
  </si>
  <si>
    <t>MF/JSP</t>
  </si>
  <si>
    <t>JSP 06/06/2024</t>
  </si>
  <si>
    <t>QERBEIYQLUHB</t>
  </si>
  <si>
    <t>go</t>
  </si>
  <si>
    <t>Apenas contas bancárias</t>
  </si>
  <si>
    <t>JSP?</t>
  </si>
  <si>
    <t>AV</t>
  </si>
  <si>
    <t>MOD 49 11-06-2024</t>
  </si>
  <si>
    <t>CONTACTAR</t>
  </si>
  <si>
    <t>Barnaby Ferrero + Sophie Ferrero</t>
  </si>
  <si>
    <t>Conta bancária??</t>
  </si>
  <si>
    <t>JSP 07/06/2024</t>
  </si>
  <si>
    <t>FUHQXALVHLHH</t>
  </si>
  <si>
    <t>SIM(27/06/2024)</t>
  </si>
  <si>
    <t>SIM(08/05/2024)</t>
  </si>
  <si>
    <t>MOD 49 09-06-2024</t>
  </si>
  <si>
    <t xml:space="preserve"> IKXQMOMICUQN</t>
  </si>
  <si>
    <t>JSP/MCV</t>
  </si>
  <si>
    <t>SIM(15/05/2024)</t>
  </si>
  <si>
    <t>5MY3UN5AYSX6</t>
  </si>
  <si>
    <t>SIM(26-04-2024)</t>
  </si>
  <si>
    <t>SIM(16/05/2024)</t>
  </si>
  <si>
    <t>NÃO COBRAR</t>
  </si>
  <si>
    <t>MF insistir</t>
  </si>
  <si>
    <t>23-06-2024 Email - Faltam contas bancárias; extracto completo</t>
  </si>
  <si>
    <t>CAM/JSP/MCV</t>
  </si>
  <si>
    <t>SIM(22/06/2024)</t>
  </si>
  <si>
    <t>H5ZUGDV9R93T</t>
  </si>
  <si>
    <t>4ADJW48DG7UN</t>
  </si>
  <si>
    <t>SIM(13/06/2024)</t>
  </si>
  <si>
    <t>sim</t>
  </si>
  <si>
    <t>03/06/2024; JSP 07/06/2024</t>
  </si>
  <si>
    <t>SIM - 03-08-2023</t>
  </si>
  <si>
    <t>104 623 007 856 092</t>
  </si>
  <si>
    <t>NÃO 02-08-2023</t>
  </si>
  <si>
    <t>SIM(26/06/2024)</t>
  </si>
  <si>
    <t>Dr. disse para não enviar por enquanto a NH</t>
  </si>
  <si>
    <t>SIM(10/05/2024)</t>
  </si>
  <si>
    <t>Download Feito</t>
  </si>
  <si>
    <t>104 023 007 416 161</t>
  </si>
  <si>
    <t>SIMON DOMINIC STARK</t>
  </si>
  <si>
    <t>310550343</t>
  </si>
  <si>
    <t>VVPUJ8TK5KD3</t>
  </si>
  <si>
    <t>28-06-2023 - cliente tinha contas, mas já fechadas. Nada a reportar</t>
  </si>
  <si>
    <t>Frederick (Freddy) Crowther</t>
  </si>
  <si>
    <t>2023 500 6078581</t>
  </si>
  <si>
    <t>AV ENVIAR MOD 3 +NH DL + Expenses</t>
  </si>
  <si>
    <t>Download feito</t>
  </si>
  <si>
    <t>SIM(17/06/2024)</t>
  </si>
  <si>
    <t>ANDRES ARANGO</t>
  </si>
  <si>
    <t>RIUJNGNZJYQN</t>
  </si>
  <si>
    <t>MOD 49 24-06-2024</t>
  </si>
  <si>
    <t>ALBERT-ALEXIS SION DAHAN</t>
  </si>
  <si>
    <t>312359551</t>
  </si>
  <si>
    <t>E7979C5XU1JZ</t>
  </si>
  <si>
    <t>DOLORES BALDASARE</t>
  </si>
  <si>
    <t>ZBSNBNW65M9P</t>
  </si>
  <si>
    <t>SIM(23-04-2024)</t>
  </si>
  <si>
    <t>SIM(23/04/2024)</t>
  </si>
  <si>
    <t>Falar com cliente</t>
  </si>
  <si>
    <t>Liquidação Nula. Informação quando se tenta fazer o download: "Ainda não é possível obter a Demonstração de Liquidação de IRS"</t>
  </si>
  <si>
    <t>MOD 49 15-06-2024</t>
  </si>
  <si>
    <t>SIM(21/06/2024)</t>
  </si>
  <si>
    <t>AV enviar NH - EXPLICAR QUE AGUARDAMOS RENDTOS PARA DECLARAR</t>
  </si>
  <si>
    <t>28-06-2024 Aguarda esclarecimentos - nova declaração?</t>
  </si>
  <si>
    <t>SIM(24/05/2024)</t>
  </si>
  <si>
    <t>MCV/JSP</t>
  </si>
  <si>
    <t>SIM(04/06/2024)</t>
  </si>
  <si>
    <t>JSP contactar?</t>
  </si>
  <si>
    <t>VER</t>
  </si>
  <si>
    <t>ALEXANDRE RUAS</t>
  </si>
  <si>
    <t>246324953</t>
  </si>
  <si>
    <t>0304</t>
  </si>
  <si>
    <t>SIM(15-05-2024)</t>
  </si>
  <si>
    <t>SIM(02/05/2024)</t>
  </si>
  <si>
    <t>23-06-2024 aguarda contas bancárias</t>
  </si>
  <si>
    <t>SIM(17/05/2024)</t>
  </si>
  <si>
    <t>SIM(10/06/2024)</t>
  </si>
  <si>
    <t>Email 04-06-2024</t>
  </si>
  <si>
    <t>5F1KP7JZ8THL</t>
  </si>
  <si>
    <t>SIM(03/05/2024)</t>
  </si>
  <si>
    <t>IGOR GOLUTVIN</t>
  </si>
  <si>
    <t>IG-2022*pt_1</t>
  </si>
  <si>
    <t>JULIA DE CLERCK-SACHSSE</t>
  </si>
  <si>
    <t>D2TNYGBTEBMJ</t>
  </si>
  <si>
    <t>NGMMIIRIQLCA</t>
  </si>
  <si>
    <t>Responded. Wait</t>
  </si>
  <si>
    <t>GIGI BAT-ERDENE</t>
  </si>
  <si>
    <t xml:space="preserve">???? </t>
  </si>
  <si>
    <t xml:space="preserve">LUCIA HELENA </t>
  </si>
  <si>
    <t>302549439</t>
  </si>
  <si>
    <t>KIQQPCQNIPHD</t>
  </si>
  <si>
    <t>Dívida Eur 1,16?!!; MMS LINHA AT - PAGMTO PREST??</t>
  </si>
  <si>
    <t>SERGIO PENZO</t>
  </si>
  <si>
    <t>500€S/IVA</t>
  </si>
  <si>
    <t>XYREVYQKMRMT</t>
  </si>
  <si>
    <t>2023 500 6077607</t>
  </si>
  <si>
    <t>AV enviar Mod 3 + recordar IUC em falta</t>
  </si>
  <si>
    <t>NÃO FATURAR</t>
  </si>
  <si>
    <t>JØRGEN CHRISTIAN JUUL</t>
  </si>
  <si>
    <t xml:space="preserve">SHIRA RAM </t>
  </si>
  <si>
    <t>322529662</t>
  </si>
  <si>
    <t>323186068</t>
  </si>
  <si>
    <t>SIM(20-06-2024)</t>
  </si>
  <si>
    <t>RYAN HWANG</t>
  </si>
  <si>
    <t>322670640</t>
  </si>
  <si>
    <t>TJNHFZPKFCXT</t>
  </si>
  <si>
    <t>AV/MCV</t>
  </si>
  <si>
    <t xml:space="preserve">SEBASTIAN HENNIG </t>
  </si>
  <si>
    <t>HARRISON MICHAEL LEE</t>
  </si>
  <si>
    <t>322972582</t>
  </si>
  <si>
    <t>SIIM(13-05-2024)</t>
  </si>
  <si>
    <t>DEV SUBRATA</t>
  </si>
  <si>
    <t>306251884</t>
  </si>
  <si>
    <t>HJFTVYKAAHDK</t>
  </si>
  <si>
    <t>306251698</t>
  </si>
  <si>
    <t>APENAS</t>
  </si>
  <si>
    <t>SIM(03-06-2024)</t>
  </si>
  <si>
    <t>KATE LOUISE UNSWORTH</t>
  </si>
  <si>
    <t>RNH</t>
  </si>
  <si>
    <t>Aguarda excel cliente</t>
  </si>
  <si>
    <t>SIM(31-05-2024)</t>
  </si>
  <si>
    <t>SIM(20/06/2024)</t>
  </si>
  <si>
    <t>PACK</t>
  </si>
  <si>
    <t xml:space="preserve">SENI SULYMAN </t>
  </si>
  <si>
    <t>308671520</t>
  </si>
  <si>
    <t>BMUJNZAVQNPD</t>
  </si>
  <si>
    <t>TAHIR SULYMAN</t>
  </si>
  <si>
    <t>308671171</t>
  </si>
  <si>
    <t>KLBMSCZRRARN</t>
  </si>
  <si>
    <t>SIM(06-05-2024)</t>
  </si>
  <si>
    <t>KNKVRQHTDRUT</t>
  </si>
  <si>
    <t>SIM(21/05/2024)</t>
  </si>
  <si>
    <t>GABRIELA SWARTZ</t>
  </si>
  <si>
    <t>319246213</t>
  </si>
  <si>
    <t>BSBNUUZKBJJN</t>
  </si>
  <si>
    <t>SIM(07/06/2024)</t>
  </si>
  <si>
    <t>AXEL WICKMAN</t>
  </si>
  <si>
    <t>TH4G2CFEH4NG</t>
  </si>
  <si>
    <t>Falta IBAN para reembolso</t>
  </si>
  <si>
    <t>RESID FISCAL PARCIAL</t>
  </si>
  <si>
    <t>DATA SUBMISSÃO</t>
  </si>
  <si>
    <t>Reembolso AT 2022</t>
  </si>
  <si>
    <t xml:space="preserve">HARRY LEE </t>
  </si>
  <si>
    <t xml:space="preserve">JKNSYKMDJXOK             Reference: 247014393
Telemóvel 729990 </t>
  </si>
  <si>
    <t xml:space="preserve">  KNKVRQHTDRUT</t>
  </si>
  <si>
    <t>2023 500 6072575</t>
  </si>
  <si>
    <t>Enviado MOD 3 + NL (03-08-2023)</t>
  </si>
  <si>
    <t>08/06/2023</t>
  </si>
  <si>
    <t>12-06-2023</t>
  </si>
  <si>
    <t>2023 500 6066976</t>
  </si>
  <si>
    <t>MOD3+NL+NH(04-08-2023)</t>
  </si>
  <si>
    <t>Dmitri Stepanov</t>
  </si>
  <si>
    <t xml:space="preserve">NÃO </t>
  </si>
  <si>
    <t>SVETLANA</t>
  </si>
  <si>
    <t>CVSPSR1101</t>
  </si>
  <si>
    <t>PETER</t>
  </si>
  <si>
    <t>IROYGZCLGLHR</t>
  </si>
  <si>
    <t>2023 500 6071734</t>
  </si>
  <si>
    <t>10-07-2023</t>
  </si>
  <si>
    <t>Enviado MOD 3 + NH + NL (03-08-2023)</t>
  </si>
  <si>
    <t xml:space="preserve">HEIDI </t>
  </si>
  <si>
    <t>AINDA NÃO</t>
  </si>
  <si>
    <t>12-07-2023</t>
  </si>
  <si>
    <t>MARIA JOÃO GUEDES</t>
  </si>
  <si>
    <t>20-06-2023 - conf telef Luis Trindade - não há rendimentos predias a reportar</t>
  </si>
  <si>
    <t>2.196,47</t>
  </si>
  <si>
    <t>28-07-2023</t>
  </si>
  <si>
    <t xml:space="preserve"> MOD 3+NL+NH (28-07-2023)</t>
  </si>
  <si>
    <t>JULIAN JOHNSON</t>
  </si>
  <si>
    <t>2023 500 6077669</t>
  </si>
  <si>
    <t>16-05-2023</t>
  </si>
  <si>
    <t>06-06-2023</t>
  </si>
  <si>
    <t>2023 400 6061415</t>
  </si>
  <si>
    <t>03-08-2023</t>
  </si>
  <si>
    <t>??</t>
  </si>
  <si>
    <t>PHILLIPPA WILSON</t>
  </si>
  <si>
    <t>QLSDLZMGRJIK</t>
  </si>
  <si>
    <t>ALEXANDRE</t>
  </si>
  <si>
    <t>RPSGFAIFLUOX</t>
  </si>
  <si>
    <t>JSP - LIGUEI. NÃO ATENDEU. NÃO DEVOLVEU CHAMADA</t>
  </si>
  <si>
    <t>2023 500 6071728</t>
  </si>
  <si>
    <t>SIM/COMPENSAÇÃO</t>
  </si>
  <si>
    <t>AV enviou MOD3 12/07/2023 + NL (03-08-2023)</t>
  </si>
  <si>
    <t>BLANCA VALBUENA</t>
  </si>
  <si>
    <t>VGERMBZZMEBQ</t>
  </si>
  <si>
    <t>NELLY ALVAREZ</t>
  </si>
  <si>
    <t>nelly2019</t>
  </si>
  <si>
    <t>2023 500 6080251</t>
  </si>
  <si>
    <t>PRO-BONO</t>
  </si>
  <si>
    <t>AV enviou MOD3 (31-07-2023) + NL (03-08-2023)</t>
  </si>
  <si>
    <t>ARMANDO DA SILVA NUNES</t>
  </si>
  <si>
    <t>armandojorge</t>
  </si>
  <si>
    <t>Enviado MOD3+NL+NH - Cliente n respondeu</t>
  </si>
  <si>
    <t>ANDREW GENT</t>
  </si>
  <si>
    <t xml:space="preserve">293521301  </t>
  </si>
  <si>
    <t>2023 500 6069977</t>
  </si>
  <si>
    <t>AV enviou MOD3 + NL+NH (04-08-2023)</t>
  </si>
  <si>
    <t>15-05-2023</t>
  </si>
  <si>
    <t>2023 500 6049056</t>
  </si>
  <si>
    <t>21-04-2023</t>
  </si>
  <si>
    <t>24-04-2023</t>
  </si>
  <si>
    <t>MOD 3 enviado + NL (04-08-2023)</t>
  </si>
  <si>
    <t>ers</t>
  </si>
  <si>
    <t>03-07-2023</t>
  </si>
  <si>
    <t>2023 500 6083125</t>
  </si>
  <si>
    <t>MOD 3 enviado + NH DL</t>
  </si>
  <si>
    <t>NL enviada + Reforço pedido de pagamento de honorários (02-08-2023)</t>
  </si>
  <si>
    <t>11-06-2023</t>
  </si>
  <si>
    <t>Emails colocados no dossier virtual</t>
  </si>
  <si>
    <t>17-06-2023</t>
  </si>
  <si>
    <t>JEFF (MARIDO LISA PEREIRA )</t>
  </si>
  <si>
    <t>FMP</t>
  </si>
  <si>
    <t xml:space="preserve">John Vicente </t>
  </si>
  <si>
    <t>283600306</t>
  </si>
  <si>
    <t>YFOIXJQDVZBK</t>
  </si>
  <si>
    <t xml:space="preserve">Anneline </t>
  </si>
  <si>
    <t>283871008</t>
  </si>
  <si>
    <t>HYRIZZDJGSZP</t>
  </si>
  <si>
    <t>2023 500 4999389</t>
  </si>
  <si>
    <t>28-06-2023</t>
  </si>
  <si>
    <t>MOD3+NL+Dívida Portagens (04-08-2023)</t>
  </si>
  <si>
    <t>Felipe Monteiro da Costa</t>
  </si>
  <si>
    <t>295459433</t>
  </si>
  <si>
    <t>JO@quim07</t>
  </si>
  <si>
    <t>08-07-2023 Dívida DMR</t>
  </si>
  <si>
    <t>JULIE</t>
  </si>
  <si>
    <t>304411612</t>
  </si>
  <si>
    <t>2023 400 6068020</t>
  </si>
  <si>
    <t>MOD3+NL (04-08-2023)</t>
  </si>
  <si>
    <t>Reforço pedido pagamento honorários (04-08-2023)</t>
  </si>
  <si>
    <t>14-06-2023</t>
  </si>
  <si>
    <t xml:space="preserve">Carey Schonegevel </t>
  </si>
  <si>
    <t>304651303</t>
  </si>
  <si>
    <t>JA4YJ85DZ8AM</t>
  </si>
  <si>
    <t>NIC HALL</t>
  </si>
  <si>
    <t>OTTYMCUHVANU</t>
  </si>
  <si>
    <t>2023 500 6078916</t>
  </si>
  <si>
    <t>MOD3+NL(04-08-2023)</t>
  </si>
  <si>
    <t xml:space="preserve">Shanon </t>
  </si>
  <si>
    <t>20-06-2023 - Cody -my company took care</t>
  </si>
  <si>
    <t>22-06-2023</t>
  </si>
  <si>
    <t>DECLARAÇÃO COM ANOMALIAS - NIF DO CONJUGE EXISTE NOUTRA DR COMO DEP,DEP.GCONJ,AFILH/TIT,CONJUGE OUTRO AGREG(E09)</t>
  </si>
  <si>
    <t>Marco Elumba</t>
  </si>
  <si>
    <t>301024375</t>
  </si>
  <si>
    <t>JVDGPZIXSEMZ</t>
  </si>
  <si>
    <t>2023 400 6061564</t>
  </si>
  <si>
    <t>AV enviou MOD 3 + NH DL</t>
  </si>
  <si>
    <t>Joel Jabalera</t>
  </si>
  <si>
    <t>BWUPTCZPARFK</t>
  </si>
  <si>
    <t>2023 400 4659159</t>
  </si>
  <si>
    <t>MOD3+NL (09-08-2023)</t>
  </si>
  <si>
    <t>Timo Meyer</t>
  </si>
  <si>
    <t>15-06-2023</t>
  </si>
  <si>
    <t>PRO BONO</t>
  </si>
  <si>
    <t>KHAOU</t>
  </si>
  <si>
    <t>19-06-2023</t>
  </si>
  <si>
    <t>2023 500 6070877</t>
  </si>
  <si>
    <t>MOD3+NL+ Ref. Pag enviado (04-08-2023)</t>
  </si>
  <si>
    <t>12-06--2023</t>
  </si>
  <si>
    <t>2023 500 6066780</t>
  </si>
  <si>
    <t>ELEANOR FROELICH</t>
  </si>
  <si>
    <t xml:space="preserve">Christian Tanzer </t>
  </si>
  <si>
    <t>Verificar</t>
  </si>
  <si>
    <t>2023 500 6082850</t>
  </si>
  <si>
    <t>AV enviou MOD3 e NH p/email</t>
  </si>
  <si>
    <t xml:space="preserve">ROBERT PECKHAM (Bob) </t>
  </si>
  <si>
    <t xml:space="preserve">Judy </t>
  </si>
  <si>
    <t>Verificar. V. password</t>
  </si>
  <si>
    <t>Maria Teresa Rojas</t>
  </si>
  <si>
    <t>L7wfsCMDsTPF</t>
  </si>
  <si>
    <t>IKXQMOMICUQN</t>
  </si>
  <si>
    <t>JSP - CONTACTAR / Emails colocados no dossier virtual</t>
  </si>
  <si>
    <t xml:space="preserve">Edward Allan Voorhees </t>
  </si>
  <si>
    <t xml:space="preserve">Tanya </t>
  </si>
  <si>
    <t>306352419</t>
  </si>
  <si>
    <t>L3USCLSXWURA</t>
  </si>
  <si>
    <t>2023 500 6070633</t>
  </si>
  <si>
    <t>MOD 3+NL+NH (09-08-2023)</t>
  </si>
  <si>
    <t>25/06/2023 / 30/06/2023</t>
  </si>
  <si>
    <t>2023 500 6080539</t>
  </si>
  <si>
    <t>AV enviou MOD3 + NH DL</t>
  </si>
  <si>
    <t>Marius Niemann</t>
  </si>
  <si>
    <t>2023 500 6079081</t>
  </si>
  <si>
    <t>Brigitte Reinhard</t>
  </si>
  <si>
    <t>2023 500 6079315</t>
  </si>
  <si>
    <t>MOD 3 + NH  + NL (03-08-2023)</t>
  </si>
  <si>
    <t>Abel Rogers</t>
  </si>
  <si>
    <t>306961342</t>
  </si>
  <si>
    <t>SHCWJDDZCHCJ</t>
  </si>
  <si>
    <t xml:space="preserve">Justyna </t>
  </si>
  <si>
    <t>307170730</t>
  </si>
  <si>
    <t>U4ELXL6GBWUN</t>
  </si>
  <si>
    <t>2023 500 6070471</t>
  </si>
  <si>
    <t>NL enviada + Reforço pedido de pagamento de honorários (09-08-2023)</t>
  </si>
  <si>
    <t>Enviado MOD3 + NL + NH (02-08-2023)</t>
  </si>
  <si>
    <t xml:space="preserve">ROBERT (CHRISTOPHER MENA) </t>
  </si>
  <si>
    <t>3XZ2W186WJUX</t>
  </si>
  <si>
    <t>ANGELE (CHRISTOPHER MENA)</t>
  </si>
  <si>
    <t>ARK</t>
  </si>
  <si>
    <t>GSU39QH5X3SS</t>
  </si>
  <si>
    <t>2023 400 6074173</t>
  </si>
  <si>
    <t>MOD 3+NL(17-08-2023)</t>
  </si>
  <si>
    <t>Greg Hannan</t>
  </si>
  <si>
    <t>295641622</t>
  </si>
  <si>
    <t>TBE3XWV32PJ2</t>
  </si>
  <si>
    <t>304328391</t>
  </si>
  <si>
    <t>2023 500 6077536</t>
  </si>
  <si>
    <t>John Walpole</t>
  </si>
  <si>
    <t xml:space="preserve">Caroline Kung </t>
  </si>
  <si>
    <t>2023 400 6078857</t>
  </si>
  <si>
    <t>AV ENVIAR MOD 3 +NH DL 2x</t>
  </si>
  <si>
    <t>Simon Dominic Stark</t>
  </si>
  <si>
    <t>MOD B</t>
  </si>
  <si>
    <t>Gregory Kirchhoff</t>
  </si>
  <si>
    <t>Victoria Mikoda</t>
  </si>
  <si>
    <t>YMVXIFWRQUQG</t>
  </si>
  <si>
    <t>Paulo</t>
  </si>
  <si>
    <t>ptpg230280</t>
  </si>
  <si>
    <t>2023 500 6065026</t>
  </si>
  <si>
    <t>AV ENVIAR MOD 3 +NH DL Eur 400+400+350 2x+Dívidas IMI +IUC</t>
  </si>
  <si>
    <t>DECLARAÇÃO COM REEMBOLSO. Informação quando se tenta fazer o download: "Ainda não é possível obter a Demonstração de Liquidação de IRS"</t>
  </si>
  <si>
    <t>NIKOLAUS RONACHER (Sara?)</t>
  </si>
  <si>
    <t>305866664</t>
  </si>
  <si>
    <t>Q2LAVDSWFVKD</t>
  </si>
  <si>
    <t xml:space="preserve">Sara </t>
  </si>
  <si>
    <t>305866818</t>
  </si>
  <si>
    <t>7GENVE4361YZ</t>
  </si>
  <si>
    <t>Johnny Quach</t>
  </si>
  <si>
    <t>20/04/2023</t>
  </si>
  <si>
    <t>12/06/2023</t>
  </si>
  <si>
    <t>2023 500 6049055</t>
  </si>
  <si>
    <t>MOD3+NL+NH (04-08-2023)</t>
  </si>
  <si>
    <t>Andrés Arango</t>
  </si>
  <si>
    <t>@Dungem76</t>
  </si>
  <si>
    <t>08-06-2023 - O CLIENTE JÁ SUBMETEU!</t>
  </si>
  <si>
    <t>Tatiana</t>
  </si>
  <si>
    <t>Andrei Pasechnyi (cantor)</t>
  </si>
  <si>
    <t>306973014</t>
  </si>
  <si>
    <t>Jelezyaka1</t>
  </si>
  <si>
    <t>2023 500 6069488</t>
  </si>
  <si>
    <t>Não</t>
  </si>
  <si>
    <t>Marcos Turini Barroso</t>
  </si>
  <si>
    <t>294674535</t>
  </si>
  <si>
    <t>3F8L29K3CRH5</t>
  </si>
  <si>
    <t xml:space="preserve">Ana Angelica </t>
  </si>
  <si>
    <t>294674691</t>
  </si>
  <si>
    <t>MOD3+NL+NH DL (04-08-2023)</t>
  </si>
  <si>
    <t xml:space="preserve">Eilam Hoffmann </t>
  </si>
  <si>
    <t>304667005</t>
  </si>
  <si>
    <t>HIIZXGFENQND</t>
  </si>
  <si>
    <t xml:space="preserve">Fernanda </t>
  </si>
  <si>
    <t>311913571</t>
  </si>
  <si>
    <t>MOD3+NL+NH DL (20-08-2023)</t>
  </si>
  <si>
    <t>AARON JABLONSKI</t>
  </si>
  <si>
    <t>310512514</t>
  </si>
  <si>
    <t>n3,@=r~*2uib@r?</t>
  </si>
  <si>
    <t>2023 500 6064201</t>
  </si>
  <si>
    <t>2023 400 6057590</t>
  </si>
  <si>
    <t>AV ENVIAR MOD 3  VALIDADA Aguardamos Liq</t>
  </si>
  <si>
    <t>CLIENTE JÁ PAGOU (07-08-2023)</t>
  </si>
  <si>
    <t>N5P8LXC6T1RB</t>
  </si>
  <si>
    <t>2023 500 6061569</t>
  </si>
  <si>
    <t>Ben Taub</t>
  </si>
  <si>
    <t>WJYTJWEGPMMA</t>
  </si>
  <si>
    <t>REEMBOLSO  2023.4005937723</t>
  </si>
  <si>
    <t>SETA ISKANDARIAN</t>
  </si>
  <si>
    <t>306186926</t>
  </si>
  <si>
    <t>6XXWG3R9HHFQ</t>
  </si>
  <si>
    <t xml:space="preserve">ROBERT TATEVOS NALBANDOV </t>
  </si>
  <si>
    <t>306187582</t>
  </si>
  <si>
    <t>UYS75SYVNCB7</t>
  </si>
  <si>
    <t xml:space="preserve"> 2023 400 5930333</t>
  </si>
  <si>
    <t>AV ENVIAR MOD 3 +NH DL</t>
  </si>
  <si>
    <t>a</t>
  </si>
  <si>
    <t>G1NHQHJ1WQ5T</t>
  </si>
  <si>
    <t>2023 500 6080278</t>
  </si>
  <si>
    <t>AV ENVIAR MOD 3  recordar enviado NH DL</t>
  </si>
  <si>
    <t>MARCOS ANTONIO VAZ SALLES</t>
  </si>
  <si>
    <t>DESKMWJQCWWM</t>
  </si>
  <si>
    <t>2023 500 6077413</t>
  </si>
  <si>
    <t xml:space="preserve">6.003,45 € 
</t>
  </si>
  <si>
    <t>2023 500 5919293</t>
  </si>
  <si>
    <t>03-06-2023 FSM - CONTACTAR EMAIL coima IRS 201! / Entregue 2 declarações NR e R</t>
  </si>
  <si>
    <t>SIM S/ IVA</t>
  </si>
  <si>
    <t>A CONFIRMAR EM 2023 PARA ENTREGA IRS 2024</t>
  </si>
  <si>
    <t>DATA</t>
  </si>
  <si>
    <t>Pagamento AT 2023</t>
  </si>
  <si>
    <t>FATURAR</t>
  </si>
  <si>
    <t>OBS</t>
  </si>
  <si>
    <t>JASON MILES</t>
  </si>
  <si>
    <t>DARRYN ROGERS</t>
  </si>
  <si>
    <t>BARBASHYN (SERGIY BARBASHYN)</t>
  </si>
  <si>
    <t>JOSÉ RAMÓN TORRALBO</t>
  </si>
  <si>
    <t>JULIEN SIMSHAUSER</t>
  </si>
  <si>
    <t>GABRIEL POSNER</t>
  </si>
  <si>
    <t>FILIMENA RADONJANIN-STOJMIROVA</t>
  </si>
  <si>
    <t xml:space="preserve">LELAND FRANK BROWN </t>
  </si>
  <si>
    <t>Felix Novo de Oliveira</t>
  </si>
  <si>
    <t>Leo Soletti</t>
  </si>
  <si>
    <t>Guy</t>
  </si>
  <si>
    <t>Courtney</t>
  </si>
  <si>
    <t>Sophie Ferrero</t>
  </si>
  <si>
    <t xml:space="preserve">Amir Mortazavi </t>
  </si>
  <si>
    <t>INMAR GIVONI</t>
  </si>
  <si>
    <t>Charlotte Johson (Miles)</t>
  </si>
  <si>
    <t>Sebastian Sas</t>
  </si>
  <si>
    <t>WILLIAM (MILLIE MINET)</t>
  </si>
  <si>
    <t>Jessica Halikias</t>
  </si>
  <si>
    <t>JASON (KATHARINA KIENBOECK)</t>
  </si>
  <si>
    <t>ANNA (MULHER DEV SUBRATA)</t>
  </si>
  <si>
    <t>Hal Martin</t>
  </si>
  <si>
    <t>Hal Martin - Edwin</t>
  </si>
  <si>
    <t>Fernanda Fiúza</t>
  </si>
  <si>
    <t>MILLE MINET</t>
  </si>
  <si>
    <t>MARIYEH (NICKBALDWIN)</t>
  </si>
  <si>
    <t>STEVE BRISTER</t>
  </si>
  <si>
    <t>CELIA FRANCO</t>
  </si>
  <si>
    <t>AHDAB MAMGOUHA</t>
  </si>
  <si>
    <t>Sebastian</t>
  </si>
  <si>
    <t xml:space="preserve">Barnaby Ferrero </t>
  </si>
  <si>
    <t>STAS</t>
  </si>
  <si>
    <t xml:space="preserve">Stephanie </t>
  </si>
  <si>
    <t>David Hill</t>
  </si>
  <si>
    <t>Ruth (Mulher David Hill)</t>
  </si>
  <si>
    <t>CRPM9NUB5HQB</t>
  </si>
  <si>
    <t>Laurie Ellen MacDonald</t>
  </si>
  <si>
    <t>Albert Dahan</t>
  </si>
  <si>
    <t xml:space="preserve">Michael David Roberts </t>
  </si>
  <si>
    <t>NICK SABINE (1568)</t>
  </si>
  <si>
    <t xml:space="preserve">JAN PAUL WENTZ </t>
  </si>
  <si>
    <t>Alexandre Ruas</t>
  </si>
  <si>
    <t xml:space="preserve">LORENZO MADRIDEJOS SOLER </t>
  </si>
  <si>
    <t>LORENZO EDUARDO SHAPIRO SHEIN</t>
  </si>
  <si>
    <t xml:space="preserve">Elena </t>
  </si>
  <si>
    <t>BRENO GUSTAVO ARRUDA</t>
  </si>
  <si>
    <t xml:space="preserve">Fabiana </t>
  </si>
  <si>
    <t>Dolores Baldasare</t>
  </si>
  <si>
    <t>Lev Krivoshein</t>
  </si>
  <si>
    <t>Ana Angélica (mulher Marcos André Turini Barroso)</t>
  </si>
  <si>
    <t>Jason Miles</t>
  </si>
  <si>
    <t>Kathy Miles</t>
  </si>
  <si>
    <t>Cyril de Werdt</t>
  </si>
  <si>
    <t>Catharina Stuntz</t>
  </si>
  <si>
    <t>A CONFIRMAR EM 2025 PARA ENTREGA IRS 2024</t>
  </si>
  <si>
    <t>CLARISSA BEHRENDT</t>
  </si>
  <si>
    <t>CAMILLA  ELVIDGE (MIMI)</t>
  </si>
  <si>
    <t>Montante Liquidação</t>
  </si>
  <si>
    <t>DATA LUQUIDAÇÃO</t>
  </si>
  <si>
    <t>BMT</t>
  </si>
  <si>
    <t>Model II</t>
  </si>
  <si>
    <t>CLIENTE CONTACTOU</t>
  </si>
  <si>
    <t>JS</t>
  </si>
  <si>
    <t>T6TF9XSXFC7d#</t>
  </si>
  <si>
    <t>eVR.96Uthgga9xku</t>
  </si>
  <si>
    <t>gcpickford@gmail.com</t>
  </si>
  <si>
    <t>MF/JPD/JSP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</si>
</sst>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8" formatCode="#,##0.00\ &quot;€&quot;;[Red]\-#,##0.00\ &quot;€&quot;"/>
    <numFmt numFmtId="164" formatCode="#,##0.00\ &quot;€&quot;"/>
  </numFmts>
  <fonts count="9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trike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sz val="10"/>
      <color rgb="FF201F1E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Roboto"/>
    </font>
    <font>
      <sz val="11"/>
      <color rgb="FF000000"/>
      <name val="Roboto"/>
    </font>
    <font>
      <b/>
      <sz val="8"/>
      <color theme="1"/>
      <name val="Calibri"/>
      <family val="2"/>
      <scheme val="minor"/>
    </font>
    <font>
      <sz val="10"/>
      <color rgb="FF92D050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92D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0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trike/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6"/>
      <name val="Calibri"/>
      <family val="2"/>
      <scheme val="minor"/>
    </font>
    <font>
      <strike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trike/>
      <sz val="12"/>
      <color theme="5" tint="-0.249977111117893"/>
      <name val="Calibri"/>
      <family val="2"/>
      <scheme val="minor"/>
    </font>
    <font>
      <strike/>
      <sz val="12"/>
      <name val="Calibri"/>
      <family val="2"/>
    </font>
    <font>
      <sz val="12"/>
      <color rgb="FF00B05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b/>
      <sz val="10"/>
      <name val="Symbol"/>
      <family val="1"/>
      <charset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5"/>
      <name val="Calibri"/>
      <family val="2"/>
      <scheme val="minor"/>
    </font>
    <font>
      <sz val="6"/>
      <color rgb="FFFF0000"/>
      <name val="Calibri"/>
      <family val="2"/>
      <scheme val="minor"/>
    </font>
    <font>
      <sz val="10"/>
      <name val="Symbol"/>
      <family val="1"/>
      <charset val="2"/>
    </font>
    <font>
      <b/>
      <sz val="8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9"/>
      <color rgb="FF00B050"/>
      <name val="Roboto"/>
    </font>
    <font>
      <b/>
      <sz val="12"/>
      <name val="Calibri"/>
      <family val="2"/>
      <scheme val="minor"/>
    </font>
    <font>
      <sz val="9"/>
      <name val="Roboto"/>
    </font>
    <font>
      <b/>
      <sz val="14"/>
      <name val="Arial"/>
      <family val="2"/>
    </font>
    <font>
      <b/>
      <sz val="12"/>
      <color rgb="FFFF0000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rgb="FFEE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FF5050"/>
      <name val="Calibri"/>
      <family val="2"/>
      <scheme val="minor"/>
    </font>
    <font>
      <sz val="12"/>
      <name val="Arial"/>
      <family val="2"/>
    </font>
    <font>
      <strike/>
      <sz val="12"/>
      <color rgb="FFFF0000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Roboto"/>
    </font>
    <font>
      <sz val="12"/>
      <color rgb="FF3886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rgb="FFEE000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name val="Symbol"/>
      <family val="1"/>
      <charset val="2"/>
    </font>
    <font>
      <sz val="12"/>
      <name val="Roboto"/>
    </font>
    <font>
      <sz val="12"/>
      <color rgb="FF00B050"/>
      <name val="Roboto"/>
    </font>
    <font>
      <sz val="12"/>
      <color rgb="FFC0000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388600"/>
      <name val="Calibri"/>
      <family val="2"/>
      <scheme val="minor"/>
    </font>
    <font>
      <sz val="12"/>
      <color rgb="FF00B050"/>
      <name val="Calibri"/>
      <family val="2"/>
    </font>
    <font>
      <b/>
      <sz val="10"/>
      <color rgb="FF00CC00"/>
      <name val="Calibri"/>
      <family val="2"/>
      <scheme val="minor"/>
    </font>
    <font>
      <b/>
      <sz val="10"/>
      <color rgb="FF00CC66"/>
      <name val="Calibri"/>
      <family val="2"/>
      <scheme val="minor"/>
    </font>
    <font>
      <b/>
      <sz val="10"/>
      <color rgb="FF388600"/>
      <name val="Calibri"/>
      <family val="2"/>
      <scheme val="minor"/>
    </font>
    <font>
      <sz val="11"/>
      <color rgb="FF388600"/>
      <name val="Calibri"/>
      <family val="2"/>
      <scheme val="minor"/>
    </font>
    <font>
      <sz val="12"/>
      <color rgb="FFED0000"/>
      <name val="Calibri"/>
      <family val="2"/>
      <scheme val="minor"/>
    </font>
    <font>
      <sz val="12"/>
      <color rgb="FFED0000"/>
      <name val="Calibri"/>
      <family val="2"/>
    </font>
    <font>
      <sz val="12"/>
      <color theme="8"/>
      <name val="Calibri"/>
      <family val="2"/>
      <scheme val="minor"/>
    </font>
    <font>
      <b/>
      <sz val="14"/>
      <name val="Calibri"/>
      <family val="2"/>
      <scheme val="minor"/>
    </font>
    <font>
      <strike/>
      <sz val="12"/>
      <name val="Calibri"/>
      <family val="2"/>
      <scheme val="minor"/>
    </font>
    <font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4" fillId="0" borderId="0"/>
    <xf numFmtId="0" fontId="48" fillId="0" borderId="0"/>
    <xf numFmtId="0" fontId="98" fillId="0" borderId="0"/>
  </cellStyleXfs>
  <cellXfs count="75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4" fillId="0" borderId="0" xfId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4" fontId="15" fillId="0" borderId="0" xfId="0" applyNumberFormat="1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9" fontId="3" fillId="0" borderId="0" xfId="1" applyFont="1" applyAlignment="1">
      <alignment horizontal="center" vertical="center"/>
    </xf>
    <xf numFmtId="9" fontId="17" fillId="0" borderId="0" xfId="1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4" fontId="23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 wrapText="1"/>
    </xf>
    <xf numFmtId="14" fontId="32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9" fontId="26" fillId="0" borderId="0" xfId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49" fontId="27" fillId="0" borderId="0" xfId="0" applyNumberFormat="1" applyFont="1" applyAlignment="1">
      <alignment horizontal="center" vertical="center" wrapText="1"/>
    </xf>
    <xf numFmtId="164" fontId="3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9" fontId="38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9" fontId="37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8" fontId="6" fillId="0" borderId="0" xfId="0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4" fillId="0" borderId="0" xfId="1" applyAlignment="1">
      <alignment horizontal="center" vertical="center" wrapText="1"/>
    </xf>
    <xf numFmtId="8" fontId="9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2" fontId="30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11" fillId="0" borderId="1" xfId="0" applyNumberFormat="1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7" fillId="6" borderId="1" xfId="0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9" fontId="49" fillId="2" borderId="1" xfId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14" fontId="52" fillId="0" borderId="1" xfId="0" applyNumberFormat="1" applyFont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" fontId="1" fillId="7" borderId="1" xfId="0" applyNumberFormat="1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9" fontId="0" fillId="7" borderId="1" xfId="1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9" fontId="9" fillId="7" borderId="1" xfId="0" applyNumberFormat="1" applyFont="1" applyFill="1" applyBorder="1" applyAlignment="1">
      <alignment horizontal="center" vertical="center"/>
    </xf>
    <xf numFmtId="14" fontId="12" fillId="7" borderId="1" xfId="0" applyNumberFormat="1" applyFont="1" applyFill="1" applyBorder="1" applyAlignment="1">
      <alignment horizontal="center" vertical="center"/>
    </xf>
    <xf numFmtId="2" fontId="54" fillId="0" borderId="1" xfId="0" applyNumberFormat="1" applyFont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2" fontId="54" fillId="5" borderId="1" xfId="0" applyNumberFormat="1" applyFont="1" applyFill="1" applyBorder="1" applyAlignment="1">
      <alignment horizontal="center" vertical="center"/>
    </xf>
    <xf numFmtId="14" fontId="12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20" fillId="0" borderId="1" xfId="0" applyFont="1" applyBorder="1" applyAlignment="1">
      <alignment horizontal="center" vertical="center"/>
    </xf>
    <xf numFmtId="0" fontId="30" fillId="0" borderId="0" xfId="0" applyFont="1"/>
    <xf numFmtId="9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/>
    <xf numFmtId="49" fontId="1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9" fontId="56" fillId="3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/>
    </xf>
    <xf numFmtId="2" fontId="55" fillId="3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8" fontId="9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/>
    </xf>
    <xf numFmtId="14" fontId="52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2" fontId="50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1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4" fontId="23" fillId="3" borderId="1" xfId="0" applyNumberFormat="1" applyFont="1" applyFill="1" applyBorder="1" applyAlignment="1">
      <alignment horizontal="center" vertical="center"/>
    </xf>
    <xf numFmtId="2" fontId="30" fillId="3" borderId="1" xfId="0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49" fontId="37" fillId="4" borderId="1" xfId="0" applyNumberFormat="1" applyFont="1" applyFill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9" fontId="38" fillId="0" borderId="1" xfId="0" applyNumberFormat="1" applyFont="1" applyBorder="1" applyAlignment="1">
      <alignment horizontal="center" vertical="center"/>
    </xf>
    <xf numFmtId="49" fontId="38" fillId="4" borderId="1" xfId="0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3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49" fontId="38" fillId="7" borderId="1" xfId="0" applyNumberFormat="1" applyFont="1" applyFill="1" applyBorder="1" applyAlignment="1">
      <alignment horizontal="center" vertical="center"/>
    </xf>
    <xf numFmtId="6" fontId="6" fillId="4" borderId="1" xfId="0" applyNumberFormat="1" applyFont="1" applyFill="1" applyBorder="1" applyAlignment="1">
      <alignment horizontal="center" vertical="center"/>
    </xf>
    <xf numFmtId="6" fontId="6" fillId="0" borderId="1" xfId="0" applyNumberFormat="1" applyFont="1" applyBorder="1" applyAlignment="1">
      <alignment horizontal="center" vertical="center"/>
    </xf>
    <xf numFmtId="0" fontId="9" fillId="0" borderId="2" xfId="0" applyFont="1" applyBorder="1"/>
    <xf numFmtId="2" fontId="59" fillId="0" borderId="1" xfId="0" applyNumberFormat="1" applyFont="1" applyBorder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1" fontId="59" fillId="10" borderId="1" xfId="1" applyNumberFormat="1" applyFont="1" applyFill="1" applyBorder="1" applyAlignment="1">
      <alignment horizontal="center" vertical="center" wrapText="1"/>
    </xf>
    <xf numFmtId="0" fontId="47" fillId="10" borderId="1" xfId="0" applyFont="1" applyFill="1" applyBorder="1" applyAlignment="1">
      <alignment horizontal="center" vertical="center"/>
    </xf>
    <xf numFmtId="14" fontId="47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14" fontId="9" fillId="10" borderId="1" xfId="0" applyNumberFormat="1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/>
    </xf>
    <xf numFmtId="49" fontId="37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49" fontId="38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center" vertical="center"/>
    </xf>
    <xf numFmtId="2" fontId="57" fillId="10" borderId="1" xfId="0" applyNumberFormat="1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 wrapText="1"/>
    </xf>
    <xf numFmtId="2" fontId="30" fillId="10" borderId="1" xfId="0" applyNumberFormat="1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/>
    </xf>
    <xf numFmtId="2" fontId="55" fillId="10" borderId="1" xfId="0" applyNumberFormat="1" applyFont="1" applyFill="1" applyBorder="1" applyAlignment="1">
      <alignment horizontal="center" vertical="center"/>
    </xf>
    <xf numFmtId="14" fontId="12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/>
    </xf>
    <xf numFmtId="2" fontId="6" fillId="10" borderId="1" xfId="0" applyNumberFormat="1" applyFont="1" applyFill="1" applyBorder="1" applyAlignment="1">
      <alignment horizontal="center" vertical="center"/>
    </xf>
    <xf numFmtId="2" fontId="20" fillId="10" borderId="1" xfId="0" applyNumberFormat="1" applyFont="1" applyFill="1" applyBorder="1" applyAlignment="1">
      <alignment horizontal="center" vertical="center"/>
    </xf>
    <xf numFmtId="49" fontId="12" fillId="10" borderId="1" xfId="0" applyNumberFormat="1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4" fontId="23" fillId="10" borderId="1" xfId="0" applyNumberFormat="1" applyFont="1" applyFill="1" applyBorder="1" applyAlignment="1">
      <alignment horizontal="center" vertical="center"/>
    </xf>
    <xf numFmtId="2" fontId="50" fillId="10" borderId="1" xfId="0" applyNumberFormat="1" applyFont="1" applyFill="1" applyBorder="1" applyAlignment="1">
      <alignment horizontal="center" vertical="center" wrapText="1"/>
    </xf>
    <xf numFmtId="14" fontId="1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9" fillId="10" borderId="1" xfId="0" applyFont="1" applyFill="1" applyBorder="1"/>
    <xf numFmtId="0" fontId="0" fillId="10" borderId="1" xfId="0" applyFill="1" applyBorder="1"/>
    <xf numFmtId="0" fontId="30" fillId="10" borderId="1" xfId="0" applyFont="1" applyFill="1" applyBorder="1"/>
    <xf numFmtId="14" fontId="0" fillId="10" borderId="1" xfId="0" applyNumberFormat="1" applyFill="1" applyBorder="1"/>
    <xf numFmtId="0" fontId="0" fillId="10" borderId="1" xfId="0" applyFill="1" applyBorder="1" applyAlignment="1">
      <alignment horizontal="center"/>
    </xf>
    <xf numFmtId="0" fontId="46" fillId="10" borderId="1" xfId="0" applyFont="1" applyFill="1" applyBorder="1" applyAlignment="1">
      <alignment horizontal="center" vertical="center"/>
    </xf>
    <xf numFmtId="0" fontId="5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2" fontId="58" fillId="10" borderId="1" xfId="0" applyNumberFormat="1" applyFont="1" applyFill="1" applyBorder="1" applyAlignment="1">
      <alignment horizontal="center" vertical="center"/>
    </xf>
    <xf numFmtId="2" fontId="22" fillId="10" borderId="1" xfId="0" applyNumberFormat="1" applyFont="1" applyFill="1" applyBorder="1" applyAlignment="1">
      <alignment horizontal="center" vertical="center"/>
    </xf>
    <xf numFmtId="0" fontId="9" fillId="10" borderId="0" xfId="0" applyFont="1" applyFill="1"/>
    <xf numFmtId="49" fontId="9" fillId="10" borderId="2" xfId="0" applyNumberFormat="1" applyFont="1" applyFill="1" applyBorder="1" applyAlignment="1">
      <alignment horizontal="center" vertical="center"/>
    </xf>
    <xf numFmtId="2" fontId="6" fillId="10" borderId="1" xfId="0" applyNumberFormat="1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/>
    </xf>
    <xf numFmtId="2" fontId="11" fillId="10" borderId="1" xfId="0" applyNumberFormat="1" applyFont="1" applyFill="1" applyBorder="1" applyAlignment="1">
      <alignment horizontal="center" vertical="center"/>
    </xf>
    <xf numFmtId="14" fontId="52" fillId="10" borderId="1" xfId="0" applyNumberFormat="1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 wrapText="1"/>
    </xf>
    <xf numFmtId="2" fontId="22" fillId="10" borderId="1" xfId="0" applyNumberFormat="1" applyFont="1" applyFill="1" applyBorder="1" applyAlignment="1">
      <alignment horizontal="center" vertical="center" wrapText="1"/>
    </xf>
    <xf numFmtId="2" fontId="55" fillId="10" borderId="1" xfId="0" applyNumberFormat="1" applyFont="1" applyFill="1" applyBorder="1" applyAlignment="1">
      <alignment horizontal="center" vertical="center" wrapText="1"/>
    </xf>
    <xf numFmtId="2" fontId="52" fillId="10" borderId="1" xfId="0" applyNumberFormat="1" applyFont="1" applyFill="1" applyBorder="1" applyAlignment="1">
      <alignment horizontal="center" vertical="center"/>
    </xf>
    <xf numFmtId="2" fontId="30" fillId="10" borderId="1" xfId="0" applyNumberFormat="1" applyFon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/>
    </xf>
    <xf numFmtId="2" fontId="50" fillId="10" borderId="1" xfId="0" applyNumberFormat="1" applyFont="1" applyFill="1" applyBorder="1" applyAlignment="1">
      <alignment horizontal="center" vertical="center"/>
    </xf>
    <xf numFmtId="9" fontId="38" fillId="10" borderId="1" xfId="0" applyNumberFormat="1" applyFont="1" applyFill="1" applyBorder="1" applyAlignment="1">
      <alignment horizontal="center" vertical="center"/>
    </xf>
    <xf numFmtId="9" fontId="9" fillId="10" borderId="1" xfId="0" applyNumberFormat="1" applyFont="1" applyFill="1" applyBorder="1" applyAlignment="1">
      <alignment horizontal="center" vertical="center"/>
    </xf>
    <xf numFmtId="0" fontId="55" fillId="10" borderId="1" xfId="0" applyFont="1" applyFill="1" applyBorder="1" applyAlignment="1">
      <alignment horizontal="center" vertical="center"/>
    </xf>
    <xf numFmtId="14" fontId="30" fillId="10" borderId="1" xfId="0" applyNumberFormat="1" applyFont="1" applyFill="1" applyBorder="1" applyAlignment="1">
      <alignment horizontal="center" vertical="center" wrapText="1"/>
    </xf>
    <xf numFmtId="9" fontId="30" fillId="10" borderId="1" xfId="1" applyFont="1" applyFill="1" applyBorder="1" applyAlignment="1">
      <alignment horizontal="center" vertical="center"/>
    </xf>
    <xf numFmtId="9" fontId="62" fillId="10" borderId="1" xfId="2" applyNumberFormat="1" applyFont="1" applyFill="1" applyBorder="1" applyAlignment="1">
      <alignment horizontal="center" vertical="center"/>
    </xf>
    <xf numFmtId="1" fontId="51" fillId="10" borderId="1" xfId="0" applyNumberFormat="1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 wrapText="1"/>
    </xf>
    <xf numFmtId="2" fontId="5" fillId="10" borderId="1" xfId="0" applyNumberFormat="1" applyFont="1" applyFill="1" applyBorder="1" applyAlignment="1">
      <alignment horizontal="center" vertical="center"/>
    </xf>
    <xf numFmtId="0" fontId="57" fillId="10" borderId="1" xfId="0" applyFont="1" applyFill="1" applyBorder="1" applyAlignment="1">
      <alignment horizontal="center" vertical="center"/>
    </xf>
    <xf numFmtId="2" fontId="12" fillId="10" borderId="1" xfId="0" applyNumberFormat="1" applyFont="1" applyFill="1" applyBorder="1" applyAlignment="1">
      <alignment horizontal="center" vertical="center"/>
    </xf>
    <xf numFmtId="9" fontId="3" fillId="10" borderId="1" xfId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2" fontId="61" fillId="10" borderId="1" xfId="0" applyNumberFormat="1" applyFont="1" applyFill="1" applyBorder="1" applyAlignment="1">
      <alignment horizontal="center" vertical="center" wrapText="1"/>
    </xf>
    <xf numFmtId="9" fontId="9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4" fontId="60" fillId="10" borderId="1" xfId="0" applyNumberFormat="1" applyFont="1" applyFill="1" applyBorder="1" applyAlignment="1">
      <alignment horizontal="center" vertical="center"/>
    </xf>
    <xf numFmtId="2" fontId="59" fillId="10" borderId="1" xfId="0" applyNumberFormat="1" applyFont="1" applyFill="1" applyBorder="1" applyAlignment="1">
      <alignment horizontal="center" vertical="center"/>
    </xf>
    <xf numFmtId="0" fontId="55" fillId="10" borderId="1" xfId="0" applyFont="1" applyFill="1" applyBorder="1" applyAlignment="1">
      <alignment horizontal="center" vertical="center" wrapText="1"/>
    </xf>
    <xf numFmtId="2" fontId="54" fillId="10" borderId="1" xfId="0" applyNumberFormat="1" applyFont="1" applyFill="1" applyBorder="1" applyAlignment="1">
      <alignment horizontal="center" vertical="center"/>
    </xf>
    <xf numFmtId="49" fontId="63" fillId="10" borderId="1" xfId="2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14" fontId="0" fillId="10" borderId="0" xfId="0" applyNumberFormat="1" applyFill="1"/>
    <xf numFmtId="14" fontId="9" fillId="10" borderId="1" xfId="1" applyNumberFormat="1" applyFon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1" fillId="10" borderId="1" xfId="0" applyFont="1" applyFill="1" applyBorder="1"/>
    <xf numFmtId="0" fontId="9" fillId="10" borderId="2" xfId="0" applyFont="1" applyFill="1" applyBorder="1"/>
    <xf numFmtId="0" fontId="38" fillId="2" borderId="1" xfId="0" applyFont="1" applyFill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14" fontId="6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68" fillId="0" borderId="1" xfId="1" applyNumberFormat="1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49" fontId="66" fillId="0" borderId="1" xfId="0" applyNumberFormat="1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1" fontId="68" fillId="3" borderId="1" xfId="1" applyNumberFormat="1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49" fontId="66" fillId="3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66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66" fillId="10" borderId="1" xfId="0" applyFont="1" applyFill="1" applyBorder="1" applyAlignment="1">
      <alignment horizontal="center" vertical="center" wrapText="1"/>
    </xf>
    <xf numFmtId="49" fontId="66" fillId="10" borderId="1" xfId="0" applyNumberFormat="1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0" fontId="69" fillId="2" borderId="1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1" fontId="68" fillId="10" borderId="1" xfId="1" applyNumberFormat="1" applyFont="1" applyFill="1" applyBorder="1" applyAlignment="1" applyProtection="1">
      <alignment horizontal="center" vertical="center" wrapText="1"/>
      <protection hidden="1"/>
    </xf>
    <xf numFmtId="14" fontId="12" fillId="10" borderId="1" xfId="0" applyNumberFormat="1" applyFont="1" applyFill="1" applyBorder="1" applyAlignment="1" applyProtection="1">
      <alignment horizontal="center" vertical="center"/>
      <protection hidden="1"/>
    </xf>
    <xf numFmtId="0" fontId="9" fillId="10" borderId="1" xfId="0" applyFont="1" applyFill="1" applyBorder="1" applyAlignment="1" applyProtection="1">
      <alignment horizontal="center" vertical="center"/>
      <protection hidden="1"/>
    </xf>
    <xf numFmtId="9" fontId="0" fillId="10" borderId="1" xfId="1" applyFont="1" applyFill="1" applyBorder="1" applyAlignment="1" applyProtection="1">
      <alignment horizontal="center" vertical="center"/>
      <protection hidden="1"/>
    </xf>
    <xf numFmtId="14" fontId="38" fillId="10" borderId="1" xfId="1" applyNumberFormat="1" applyFont="1" applyFill="1" applyBorder="1" applyAlignment="1" applyProtection="1">
      <alignment horizontal="center" vertical="center" wrapText="1"/>
      <protection hidden="1"/>
    </xf>
    <xf numFmtId="14" fontId="30" fillId="10" borderId="1" xfId="0" applyNumberFormat="1" applyFont="1" applyFill="1" applyBorder="1" applyAlignment="1" applyProtection="1">
      <alignment horizontal="center" vertical="center"/>
      <protection hidden="1"/>
    </xf>
    <xf numFmtId="0" fontId="38" fillId="10" borderId="1" xfId="0" applyFont="1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3" fillId="10" borderId="1" xfId="0" applyFont="1" applyFill="1" applyBorder="1" applyAlignment="1" applyProtection="1">
      <alignment horizontal="center" vertical="center"/>
      <protection hidden="1"/>
    </xf>
    <xf numFmtId="14" fontId="13" fillId="10" borderId="1" xfId="0" applyNumberFormat="1" applyFont="1" applyFill="1" applyBorder="1" applyAlignment="1" applyProtection="1">
      <alignment horizontal="center" vertical="center"/>
      <protection hidden="1"/>
    </xf>
    <xf numFmtId="14" fontId="64" fillId="10" borderId="1" xfId="0" applyNumberFormat="1" applyFont="1" applyFill="1" applyBorder="1" applyAlignment="1" applyProtection="1">
      <alignment horizontal="center" vertical="center"/>
      <protection hidden="1"/>
    </xf>
    <xf numFmtId="49" fontId="65" fillId="0" borderId="1" xfId="0" applyNumberFormat="1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4" fontId="49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2" fontId="38" fillId="0" borderId="1" xfId="0" applyNumberFormat="1" applyFont="1" applyBorder="1" applyAlignment="1" applyProtection="1">
      <alignment horizontal="center" vertical="center" wrapText="1"/>
      <protection hidden="1"/>
    </xf>
    <xf numFmtId="1" fontId="38" fillId="0" borderId="1" xfId="0" applyNumberFormat="1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center" vertical="center" wrapText="1"/>
    </xf>
    <xf numFmtId="14" fontId="38" fillId="0" borderId="1" xfId="0" applyNumberFormat="1" applyFont="1" applyBorder="1" applyAlignment="1">
      <alignment horizontal="center" vertical="center" wrapText="1"/>
    </xf>
    <xf numFmtId="1" fontId="74" fillId="0" borderId="1" xfId="1" applyNumberFormat="1" applyFont="1" applyBorder="1" applyAlignment="1" applyProtection="1">
      <alignment horizontal="center" vertical="center" wrapText="1"/>
      <protection hidden="1"/>
    </xf>
    <xf numFmtId="9" fontId="38" fillId="0" borderId="1" xfId="1" applyFont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9" fontId="20" fillId="0" borderId="1" xfId="1" applyFont="1" applyBorder="1" applyAlignment="1" applyProtection="1">
      <alignment horizontal="center" vertical="center" wrapText="1"/>
      <protection hidden="1"/>
    </xf>
    <xf numFmtId="9" fontId="30" fillId="0" borderId="1" xfId="1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center"/>
    </xf>
    <xf numFmtId="0" fontId="82" fillId="0" borderId="1" xfId="0" applyFont="1" applyBorder="1" applyAlignment="1" applyProtection="1">
      <alignment horizontal="center" vertical="center"/>
      <protection hidden="1"/>
    </xf>
    <xf numFmtId="14" fontId="9" fillId="0" borderId="1" xfId="0" applyNumberFormat="1" applyFont="1" applyBorder="1" applyAlignment="1" applyProtection="1">
      <alignment horizontal="center" vertical="center" wrapText="1"/>
      <protection hidden="1"/>
    </xf>
    <xf numFmtId="9" fontId="38" fillId="0" borderId="1" xfId="0" applyNumberFormat="1" applyFont="1" applyBorder="1" applyAlignment="1" applyProtection="1">
      <alignment horizontal="center" vertical="center"/>
      <protection hidden="1"/>
    </xf>
    <xf numFmtId="0" fontId="38" fillId="0" borderId="1" xfId="0" applyFont="1" applyBorder="1" applyAlignment="1" applyProtection="1">
      <alignment horizontal="center" vertical="center"/>
      <protection hidden="1"/>
    </xf>
    <xf numFmtId="14" fontId="38" fillId="0" borderId="1" xfId="0" applyNumberFormat="1" applyFont="1" applyBorder="1" applyAlignment="1" applyProtection="1">
      <alignment horizontal="center" vertical="center"/>
      <protection hidden="1"/>
    </xf>
    <xf numFmtId="14" fontId="76" fillId="0" borderId="1" xfId="0" applyNumberFormat="1" applyFont="1" applyBorder="1" applyAlignment="1" applyProtection="1">
      <alignment horizontal="center" vertical="center"/>
      <protection hidden="1"/>
    </xf>
    <xf numFmtId="3" fontId="38" fillId="0" borderId="1" xfId="0" applyNumberFormat="1" applyFont="1" applyBorder="1" applyAlignment="1">
      <alignment horizontal="center"/>
    </xf>
    <xf numFmtId="164" fontId="78" fillId="0" borderId="1" xfId="0" applyNumberFormat="1" applyFont="1" applyBorder="1" applyAlignment="1">
      <alignment horizontal="center" vertical="center"/>
    </xf>
    <xf numFmtId="2" fontId="38" fillId="0" borderId="1" xfId="0" applyNumberFormat="1" applyFont="1" applyBorder="1" applyAlignment="1" applyProtection="1">
      <alignment horizontal="center" vertical="center"/>
      <protection hidden="1"/>
    </xf>
    <xf numFmtId="1" fontId="38" fillId="0" borderId="1" xfId="0" applyNumberFormat="1" applyFont="1" applyBorder="1" applyAlignment="1" applyProtection="1">
      <alignment horizontal="center" vertical="center"/>
      <protection hidden="1"/>
    </xf>
    <xf numFmtId="1" fontId="9" fillId="0" borderId="1" xfId="0" applyNumberFormat="1" applyFont="1" applyBorder="1" applyAlignment="1" applyProtection="1">
      <alignment horizontal="center" vertical="center" wrapText="1"/>
      <protection hidden="1"/>
    </xf>
    <xf numFmtId="164" fontId="40" fillId="0" borderId="1" xfId="0" applyNumberFormat="1" applyFont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49" fontId="37" fillId="0" borderId="1" xfId="0" applyNumberFormat="1" applyFont="1" applyBorder="1" applyAlignment="1" applyProtection="1">
      <alignment horizontal="center" vertical="center"/>
      <protection hidden="1"/>
    </xf>
    <xf numFmtId="49" fontId="38" fillId="0" borderId="1" xfId="0" applyNumberFormat="1" applyFont="1" applyBorder="1" applyAlignment="1" applyProtection="1">
      <alignment horizontal="center" vertical="center"/>
      <protection hidden="1"/>
    </xf>
    <xf numFmtId="14" fontId="82" fillId="0" borderId="1" xfId="0" applyNumberFormat="1" applyFont="1" applyBorder="1" applyAlignment="1" applyProtection="1">
      <alignment horizontal="center" vertical="center"/>
      <protection hidden="1"/>
    </xf>
    <xf numFmtId="164" fontId="38" fillId="0" borderId="1" xfId="0" applyNumberFormat="1" applyFont="1" applyBorder="1" applyAlignment="1">
      <alignment horizontal="center" vertical="center"/>
    </xf>
    <xf numFmtId="9" fontId="30" fillId="0" borderId="1" xfId="1" applyFont="1" applyBorder="1" applyAlignment="1" applyProtection="1">
      <alignment horizontal="center" vertical="center" wrapText="1"/>
      <protection hidden="1"/>
    </xf>
    <xf numFmtId="0" fontId="37" fillId="0" borderId="1" xfId="0" applyFont="1" applyBorder="1" applyAlignment="1" applyProtection="1">
      <alignment horizontal="center" vertical="center" wrapText="1"/>
      <protection hidden="1"/>
    </xf>
    <xf numFmtId="14" fontId="37" fillId="0" borderId="1" xfId="0" applyNumberFormat="1" applyFont="1" applyBorder="1" applyAlignment="1" applyProtection="1">
      <alignment horizontal="center" vertical="center"/>
      <protection hidden="1"/>
    </xf>
    <xf numFmtId="0" fontId="37" fillId="0" borderId="1" xfId="0" applyFont="1" applyBorder="1" applyAlignment="1" applyProtection="1">
      <alignment horizontal="center" vertical="center"/>
      <protection hidden="1"/>
    </xf>
    <xf numFmtId="0" fontId="30" fillId="0" borderId="1" xfId="0" applyFont="1" applyBorder="1" applyAlignment="1" applyProtection="1">
      <alignment horizontal="center" vertical="center" wrapText="1"/>
      <protection hidden="1"/>
    </xf>
    <xf numFmtId="0" fontId="37" fillId="0" borderId="1" xfId="0" applyFont="1" applyBorder="1" applyAlignment="1">
      <alignment horizontal="center" vertical="center" wrapText="1"/>
    </xf>
    <xf numFmtId="9" fontId="37" fillId="0" borderId="1" xfId="0" applyNumberFormat="1" applyFont="1" applyBorder="1" applyAlignment="1">
      <alignment horizontal="center" vertical="center"/>
    </xf>
    <xf numFmtId="3" fontId="38" fillId="0" borderId="1" xfId="0" applyNumberFormat="1" applyFont="1" applyBorder="1"/>
    <xf numFmtId="14" fontId="12" fillId="0" borderId="1" xfId="0" applyNumberFormat="1" applyFont="1" applyBorder="1" applyAlignment="1" applyProtection="1">
      <alignment horizontal="center" vertical="center" wrapText="1"/>
      <protection hidden="1"/>
    </xf>
    <xf numFmtId="14" fontId="9" fillId="0" borderId="1" xfId="1" applyNumberFormat="1" applyFont="1" applyBorder="1" applyAlignment="1" applyProtection="1">
      <alignment horizontal="center" vertical="center" wrapText="1"/>
      <protection hidden="1"/>
    </xf>
    <xf numFmtId="0" fontId="75" fillId="0" borderId="1" xfId="0" applyFont="1" applyBorder="1" applyAlignment="1" applyProtection="1">
      <alignment horizontal="center" vertical="center"/>
      <protection hidden="1"/>
    </xf>
    <xf numFmtId="14" fontId="75" fillId="0" borderId="1" xfId="0" applyNumberFormat="1" applyFont="1" applyBorder="1" applyAlignment="1" applyProtection="1">
      <alignment horizontal="center" vertical="center"/>
      <protection hidden="1"/>
    </xf>
    <xf numFmtId="49" fontId="63" fillId="0" borderId="1" xfId="2" applyNumberFormat="1" applyFont="1" applyBorder="1" applyAlignment="1" applyProtection="1">
      <alignment horizontal="center" vertical="center"/>
      <protection hidden="1"/>
    </xf>
    <xf numFmtId="0" fontId="78" fillId="0" borderId="1" xfId="0" applyFont="1" applyBorder="1" applyAlignment="1">
      <alignment horizontal="center" vertical="center"/>
    </xf>
    <xf numFmtId="1" fontId="74" fillId="0" borderId="1" xfId="1" applyNumberFormat="1" applyFont="1" applyBorder="1" applyAlignment="1">
      <alignment horizontal="center" vertical="center" wrapText="1"/>
    </xf>
    <xf numFmtId="9" fontId="38" fillId="0" borderId="1" xfId="1" applyFont="1" applyBorder="1" applyAlignment="1">
      <alignment horizontal="center" vertical="center"/>
    </xf>
    <xf numFmtId="14" fontId="38" fillId="0" borderId="1" xfId="0" applyNumberFormat="1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20" fillId="0" borderId="1" xfId="0" applyFont="1" applyBorder="1" applyAlignment="1" applyProtection="1">
      <alignment horizontal="center" vertical="center" wrapText="1"/>
      <protection hidden="1"/>
    </xf>
    <xf numFmtId="4" fontId="80" fillId="0" borderId="1" xfId="0" applyNumberFormat="1" applyFont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14" fontId="12" fillId="0" borderId="1" xfId="1" applyNumberFormat="1" applyFont="1" applyBorder="1" applyAlignment="1">
      <alignment horizontal="center" vertical="center" wrapText="1"/>
    </xf>
    <xf numFmtId="164" fontId="73" fillId="0" borderId="1" xfId="0" applyNumberFormat="1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164" fontId="77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37" fillId="0" borderId="1" xfId="0" applyNumberFormat="1" applyFont="1" applyBorder="1" applyAlignment="1">
      <alignment horizontal="center" vertical="center"/>
    </xf>
    <xf numFmtId="14" fontId="38" fillId="0" borderId="1" xfId="1" applyNumberFormat="1" applyFont="1" applyBorder="1" applyAlignment="1" applyProtection="1">
      <alignment horizontal="center" vertical="center" wrapText="1"/>
      <protection hidden="1"/>
    </xf>
    <xf numFmtId="14" fontId="12" fillId="0" borderId="1" xfId="1" applyNumberFormat="1" applyFont="1" applyBorder="1" applyAlignment="1" applyProtection="1">
      <alignment horizontal="center" vertical="center" wrapText="1"/>
      <protection hidden="1"/>
    </xf>
    <xf numFmtId="0" fontId="79" fillId="0" borderId="1" xfId="0" applyFont="1" applyBorder="1" applyAlignment="1" applyProtection="1">
      <alignment horizontal="center" vertical="center" wrapText="1"/>
      <protection hidden="1"/>
    </xf>
    <xf numFmtId="14" fontId="79" fillId="0" borderId="1" xfId="0" applyNumberFormat="1" applyFont="1" applyBorder="1" applyAlignment="1" applyProtection="1">
      <alignment horizontal="center" vertical="center" wrapText="1"/>
      <protection hidden="1"/>
    </xf>
    <xf numFmtId="164" fontId="80" fillId="0" borderId="1" xfId="0" applyNumberFormat="1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" fontId="40" fillId="0" borderId="1" xfId="0" applyNumberFormat="1" applyFont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 vertical="center"/>
    </xf>
    <xf numFmtId="14" fontId="81" fillId="0" borderId="1" xfId="0" applyNumberFormat="1" applyFont="1" applyBorder="1" applyAlignment="1" applyProtection="1">
      <alignment horizontal="center" vertical="center"/>
      <protection hidden="1"/>
    </xf>
    <xf numFmtId="0" fontId="4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8" fillId="0" borderId="1" xfId="0" applyNumberFormat="1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 wrapText="1"/>
    </xf>
    <xf numFmtId="14" fontId="44" fillId="0" borderId="1" xfId="0" applyNumberFormat="1" applyFont="1" applyBorder="1" applyAlignment="1" applyProtection="1">
      <alignment horizontal="center" vertical="center"/>
      <protection hidden="1"/>
    </xf>
    <xf numFmtId="9" fontId="5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 applyProtection="1">
      <alignment horizontal="center" vertical="center" wrapText="1"/>
      <protection hidden="1"/>
    </xf>
    <xf numFmtId="9" fontId="38" fillId="0" borderId="1" xfId="0" applyNumberFormat="1" applyFont="1" applyBorder="1" applyAlignment="1">
      <alignment horizontal="center" vertical="center" wrapText="1"/>
    </xf>
    <xf numFmtId="49" fontId="85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49" fontId="78" fillId="0" borderId="1" xfId="0" applyNumberFormat="1" applyFont="1" applyBorder="1" applyAlignment="1">
      <alignment horizontal="center" vertical="center"/>
    </xf>
    <xf numFmtId="9" fontId="87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38" fillId="0" borderId="2" xfId="0" applyNumberFormat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49" fontId="37" fillId="2" borderId="1" xfId="0" applyNumberFormat="1" applyFont="1" applyFill="1" applyBorder="1" applyAlignment="1">
      <alignment horizontal="center" vertical="center"/>
    </xf>
    <xf numFmtId="1" fontId="74" fillId="2" borderId="1" xfId="1" applyNumberFormat="1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9" fontId="38" fillId="2" borderId="1" xfId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 wrapText="1"/>
    </xf>
    <xf numFmtId="14" fontId="38" fillId="2" borderId="1" xfId="0" applyNumberFormat="1" applyFont="1" applyFill="1" applyBorder="1" applyAlignment="1">
      <alignment horizontal="center" vertical="center"/>
    </xf>
    <xf numFmtId="14" fontId="76" fillId="2" borderId="1" xfId="0" applyNumberFormat="1" applyFont="1" applyFill="1" applyBorder="1" applyAlignment="1">
      <alignment horizontal="center" vertical="center"/>
    </xf>
    <xf numFmtId="3" fontId="38" fillId="2" borderId="1" xfId="0" applyNumberFormat="1" applyFont="1" applyFill="1" applyBorder="1"/>
    <xf numFmtId="164" fontId="40" fillId="2" borderId="1" xfId="0" applyNumberFormat="1" applyFont="1" applyFill="1" applyBorder="1" applyAlignment="1">
      <alignment horizontal="center" vertical="center"/>
    </xf>
    <xf numFmtId="14" fontId="38" fillId="2" borderId="1" xfId="0" applyNumberFormat="1" applyFont="1" applyFill="1" applyBorder="1" applyAlignment="1">
      <alignment horizontal="center" vertical="center" wrapText="1"/>
    </xf>
    <xf numFmtId="164" fontId="3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8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49" fontId="89" fillId="0" borderId="1" xfId="0" applyNumberFormat="1" applyFont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 wrapText="1"/>
    </xf>
    <xf numFmtId="164" fontId="83" fillId="0" borderId="1" xfId="0" applyNumberFormat="1" applyFont="1" applyBorder="1" applyAlignment="1">
      <alignment horizontal="center" vertical="center"/>
    </xf>
    <xf numFmtId="164" fontId="84" fillId="0" borderId="1" xfId="0" applyNumberFormat="1" applyFont="1" applyBorder="1" applyAlignment="1">
      <alignment horizontal="center" vertical="center"/>
    </xf>
    <xf numFmtId="0" fontId="83" fillId="2" borderId="1" xfId="0" applyFont="1" applyFill="1" applyBorder="1" applyAlignment="1">
      <alignment horizontal="center" vertical="center"/>
    </xf>
    <xf numFmtId="49" fontId="84" fillId="0" borderId="1" xfId="0" applyNumberFormat="1" applyFont="1" applyBorder="1" applyAlignment="1">
      <alignment horizontal="center" vertical="center"/>
    </xf>
    <xf numFmtId="49" fontId="44" fillId="0" borderId="1" xfId="0" applyNumberFormat="1" applyFont="1" applyBorder="1" applyAlignment="1">
      <alignment horizontal="center" vertical="center"/>
    </xf>
    <xf numFmtId="0" fontId="90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164" fontId="9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91" fillId="0" borderId="1" xfId="0" applyNumberFormat="1" applyFont="1" applyBorder="1" applyAlignment="1">
      <alignment horizontal="center" vertical="center"/>
    </xf>
    <xf numFmtId="14" fontId="36" fillId="0" borderId="1" xfId="0" applyNumberFormat="1" applyFont="1" applyBorder="1" applyAlignment="1" applyProtection="1">
      <alignment horizontal="center" vertical="center" wrapText="1"/>
      <protection hidden="1"/>
    </xf>
    <xf numFmtId="0" fontId="36" fillId="0" borderId="1" xfId="0" applyFont="1" applyBorder="1" applyAlignment="1" applyProtection="1">
      <alignment horizontal="center" vertical="center" wrapText="1"/>
      <protection hidden="1"/>
    </xf>
    <xf numFmtId="1" fontId="36" fillId="0" borderId="1" xfId="0" applyNumberFormat="1" applyFont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center" vertical="center" wrapText="1"/>
    </xf>
    <xf numFmtId="14" fontId="36" fillId="0" borderId="1" xfId="0" applyNumberFormat="1" applyFont="1" applyBorder="1" applyAlignment="1">
      <alignment horizontal="center" vertical="center" wrapText="1"/>
    </xf>
    <xf numFmtId="2" fontId="36" fillId="3" borderId="1" xfId="0" applyNumberFormat="1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2" fontId="36" fillId="3" borderId="1" xfId="0" applyNumberFormat="1" applyFont="1" applyFill="1" applyBorder="1" applyAlignment="1" applyProtection="1">
      <alignment horizontal="center" vertical="center" wrapText="1"/>
      <protection hidden="1"/>
    </xf>
    <xf numFmtId="14" fontId="36" fillId="3" borderId="1" xfId="0" applyNumberFormat="1" applyFont="1" applyFill="1" applyBorder="1" applyAlignment="1" applyProtection="1">
      <alignment horizontal="center" vertical="center" wrapText="1"/>
      <protection hidden="1"/>
    </xf>
    <xf numFmtId="2" fontId="20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0" fontId="36" fillId="13" borderId="1" xfId="0" applyFont="1" applyFill="1" applyBorder="1" applyAlignment="1" applyProtection="1">
      <alignment horizontal="center" vertical="center" wrapText="1"/>
      <protection hidden="1"/>
    </xf>
    <xf numFmtId="9" fontId="38" fillId="14" borderId="1" xfId="1" applyFont="1" applyFill="1" applyBorder="1" applyAlignment="1" applyProtection="1">
      <alignment horizontal="center" vertical="center"/>
      <protection hidden="1"/>
    </xf>
    <xf numFmtId="1" fontId="38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38" fillId="15" borderId="1" xfId="0" applyFont="1" applyFill="1" applyBorder="1" applyAlignment="1">
      <alignment horizontal="center" vertical="center"/>
    </xf>
    <xf numFmtId="0" fontId="88" fillId="15" borderId="1" xfId="0" applyFon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 wrapText="1"/>
    </xf>
    <xf numFmtId="9" fontId="38" fillId="15" borderId="1" xfId="1" applyFont="1" applyFill="1" applyBorder="1" applyAlignment="1" applyProtection="1">
      <alignment horizontal="center" vertical="center"/>
      <protection hidden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/>
    </xf>
    <xf numFmtId="14" fontId="9" fillId="15" borderId="1" xfId="0" applyNumberFormat="1" applyFont="1" applyFill="1" applyBorder="1" applyAlignment="1">
      <alignment horizontal="center" vertical="center"/>
    </xf>
    <xf numFmtId="9" fontId="9" fillId="15" borderId="1" xfId="0" applyNumberFormat="1" applyFont="1" applyFill="1" applyBorder="1" applyAlignment="1">
      <alignment horizontal="center" vertical="center"/>
    </xf>
    <xf numFmtId="14" fontId="64" fillId="15" borderId="1" xfId="0" applyNumberFormat="1" applyFont="1" applyFill="1" applyBorder="1" applyAlignment="1">
      <alignment horizontal="center" vertical="center"/>
    </xf>
    <xf numFmtId="0" fontId="67" fillId="15" borderId="1" xfId="0" applyFont="1" applyFill="1" applyBorder="1" applyAlignment="1">
      <alignment horizontal="center" vertical="center"/>
    </xf>
    <xf numFmtId="49" fontId="67" fillId="15" borderId="1" xfId="0" applyNumberFormat="1" applyFon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/>
    </xf>
    <xf numFmtId="0" fontId="0" fillId="15" borderId="1" xfId="0" applyFill="1" applyBorder="1"/>
    <xf numFmtId="49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9" fontId="38" fillId="10" borderId="1" xfId="1" applyFont="1" applyFill="1" applyBorder="1" applyAlignment="1" applyProtection="1">
      <alignment horizontal="center" vertical="center"/>
      <protection hidden="1"/>
    </xf>
    <xf numFmtId="1" fontId="38" fillId="0" borderId="0" xfId="0" applyNumberFormat="1" applyFont="1" applyAlignment="1">
      <alignment horizontal="center" vertical="center"/>
    </xf>
    <xf numFmtId="14" fontId="11" fillId="0" borderId="1" xfId="1" applyNumberFormat="1" applyFont="1" applyBorder="1" applyAlignment="1" applyProtection="1">
      <alignment horizontal="center" vertical="center" wrapText="1"/>
      <protection hidden="1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7" fillId="16" borderId="1" xfId="0" applyFont="1" applyFill="1" applyBorder="1" applyAlignment="1">
      <alignment horizontal="center" vertical="center"/>
    </xf>
    <xf numFmtId="0" fontId="76" fillId="16" borderId="1" xfId="0" applyFont="1" applyFill="1" applyBorder="1" applyAlignment="1">
      <alignment horizontal="center" vertical="center" wrapText="1"/>
    </xf>
    <xf numFmtId="1" fontId="74" fillId="16" borderId="1" xfId="1" applyNumberFormat="1" applyFont="1" applyFill="1" applyBorder="1" applyAlignment="1" applyProtection="1">
      <alignment horizontal="center" vertical="center" wrapText="1"/>
      <protection hidden="1"/>
    </xf>
    <xf numFmtId="14" fontId="37" fillId="16" borderId="1" xfId="0" applyNumberFormat="1" applyFont="1" applyFill="1" applyBorder="1" applyAlignment="1" applyProtection="1">
      <alignment horizontal="center" vertical="center"/>
      <protection hidden="1"/>
    </xf>
    <xf numFmtId="0" fontId="38" fillId="16" borderId="1" xfId="0" applyFont="1" applyFill="1" applyBorder="1" applyAlignment="1" applyProtection="1">
      <alignment horizontal="center" vertical="center"/>
      <protection hidden="1"/>
    </xf>
    <xf numFmtId="9" fontId="38" fillId="16" borderId="1" xfId="1" applyFont="1" applyFill="1" applyBorder="1" applyAlignment="1" applyProtection="1">
      <alignment horizontal="center" vertical="center"/>
      <protection hidden="1"/>
    </xf>
    <xf numFmtId="14" fontId="9" fillId="16" borderId="1" xfId="0" applyNumberFormat="1" applyFont="1" applyFill="1" applyBorder="1" applyAlignment="1" applyProtection="1">
      <alignment horizontal="center" vertical="center" wrapText="1"/>
      <protection hidden="1"/>
    </xf>
    <xf numFmtId="49" fontId="38" fillId="16" borderId="1" xfId="0" applyNumberFormat="1" applyFont="1" applyFill="1" applyBorder="1" applyAlignment="1" applyProtection="1">
      <alignment horizontal="center" vertical="center"/>
      <protection hidden="1"/>
    </xf>
    <xf numFmtId="14" fontId="38" fillId="16" borderId="1" xfId="0" applyNumberFormat="1" applyFont="1" applyFill="1" applyBorder="1" applyAlignment="1" applyProtection="1">
      <alignment horizontal="center" vertical="center"/>
      <protection hidden="1"/>
    </xf>
    <xf numFmtId="3" fontId="38" fillId="16" borderId="1" xfId="0" applyNumberFormat="1" applyFont="1" applyFill="1" applyBorder="1"/>
    <xf numFmtId="4" fontId="80" fillId="16" borderId="1" xfId="0" applyNumberFormat="1" applyFont="1" applyFill="1" applyBorder="1" applyAlignment="1">
      <alignment horizontal="center" vertical="center"/>
    </xf>
    <xf numFmtId="49" fontId="38" fillId="16" borderId="1" xfId="0" applyNumberFormat="1" applyFont="1" applyFill="1" applyBorder="1" applyAlignment="1">
      <alignment horizontal="center" vertical="center"/>
    </xf>
    <xf numFmtId="14" fontId="38" fillId="16" borderId="1" xfId="0" applyNumberFormat="1" applyFont="1" applyFill="1" applyBorder="1" applyAlignment="1">
      <alignment horizontal="center" vertical="center"/>
    </xf>
    <xf numFmtId="14" fontId="38" fillId="16" borderId="1" xfId="0" applyNumberFormat="1" applyFont="1" applyFill="1" applyBorder="1" applyAlignment="1">
      <alignment horizontal="center" vertical="center" wrapText="1"/>
    </xf>
    <xf numFmtId="0" fontId="38" fillId="16" borderId="1" xfId="0" applyFont="1" applyFill="1" applyBorder="1" applyAlignment="1">
      <alignment horizontal="center" vertical="center"/>
    </xf>
    <xf numFmtId="164" fontId="38" fillId="16" borderId="1" xfId="0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9" fontId="40" fillId="0" borderId="1" xfId="1" applyFont="1" applyBorder="1" applyAlignment="1" applyProtection="1">
      <alignment horizontal="center" vertical="center" shrinkToFit="1"/>
      <protection hidden="1"/>
    </xf>
    <xf numFmtId="0" fontId="50" fillId="0" borderId="1" xfId="0" applyFont="1" applyBorder="1" applyAlignment="1">
      <alignment horizontal="center" vertical="center" wrapText="1"/>
    </xf>
    <xf numFmtId="1" fontId="48" fillId="0" borderId="1" xfId="2" applyNumberFormat="1" applyBorder="1" applyAlignment="1">
      <alignment horizontal="center" vertical="center"/>
    </xf>
    <xf numFmtId="49" fontId="40" fillId="0" borderId="1" xfId="0" applyNumberFormat="1" applyFont="1" applyBorder="1" applyAlignment="1" applyProtection="1">
      <alignment horizontal="center" vertical="center"/>
      <protection hidden="1"/>
    </xf>
    <xf numFmtId="1" fontId="38" fillId="17" borderId="1" xfId="0" applyNumberFormat="1" applyFont="1" applyFill="1" applyBorder="1" applyAlignment="1">
      <alignment horizontal="center" vertical="center"/>
    </xf>
    <xf numFmtId="0" fontId="37" fillId="17" borderId="1" xfId="0" applyFont="1" applyFill="1" applyBorder="1" applyAlignment="1">
      <alignment horizontal="center" vertical="center"/>
    </xf>
    <xf numFmtId="1" fontId="74" fillId="17" borderId="1" xfId="1" applyNumberFormat="1" applyFont="1" applyFill="1" applyBorder="1" applyAlignment="1" applyProtection="1">
      <alignment horizontal="center" vertical="center" wrapText="1"/>
      <protection hidden="1"/>
    </xf>
    <xf numFmtId="0" fontId="82" fillId="17" borderId="1" xfId="0" applyFont="1" applyFill="1" applyBorder="1" applyAlignment="1" applyProtection="1">
      <alignment horizontal="center" vertical="center"/>
      <protection hidden="1"/>
    </xf>
    <xf numFmtId="2" fontId="38" fillId="17" borderId="1" xfId="0" applyNumberFormat="1" applyFont="1" applyFill="1" applyBorder="1" applyAlignment="1" applyProtection="1">
      <alignment horizontal="center" vertical="center" wrapText="1"/>
      <protection hidden="1"/>
    </xf>
    <xf numFmtId="9" fontId="38" fillId="17" borderId="1" xfId="1" applyFont="1" applyFill="1" applyBorder="1" applyAlignment="1" applyProtection="1">
      <alignment horizontal="center" vertical="center"/>
      <protection hidden="1"/>
    </xf>
    <xf numFmtId="14" fontId="9" fillId="17" borderId="1" xfId="0" applyNumberFormat="1" applyFont="1" applyFill="1" applyBorder="1" applyAlignment="1" applyProtection="1">
      <alignment horizontal="center" vertical="center" wrapText="1"/>
      <protection hidden="1"/>
    </xf>
    <xf numFmtId="0" fontId="38" fillId="17" borderId="1" xfId="0" applyFont="1" applyFill="1" applyBorder="1" applyAlignment="1" applyProtection="1">
      <alignment horizontal="center" vertical="center"/>
      <protection hidden="1"/>
    </xf>
    <xf numFmtId="14" fontId="38" fillId="17" borderId="1" xfId="0" applyNumberFormat="1" applyFont="1" applyFill="1" applyBorder="1" applyAlignment="1" applyProtection="1">
      <alignment horizontal="center" vertical="center"/>
      <protection hidden="1"/>
    </xf>
    <xf numFmtId="9" fontId="38" fillId="17" borderId="1" xfId="0" applyNumberFormat="1" applyFont="1" applyFill="1" applyBorder="1" applyAlignment="1" applyProtection="1">
      <alignment horizontal="center" vertical="center"/>
      <protection hidden="1"/>
    </xf>
    <xf numFmtId="14" fontId="76" fillId="17" borderId="1" xfId="0" applyNumberFormat="1" applyFont="1" applyFill="1" applyBorder="1" applyAlignment="1" applyProtection="1">
      <alignment horizontal="center" vertical="center"/>
      <protection hidden="1"/>
    </xf>
    <xf numFmtId="3" fontId="38" fillId="17" borderId="1" xfId="0" applyNumberFormat="1" applyFont="1" applyFill="1" applyBorder="1" applyAlignment="1">
      <alignment horizontal="center"/>
    </xf>
    <xf numFmtId="49" fontId="78" fillId="17" borderId="1" xfId="0" applyNumberFormat="1" applyFont="1" applyFill="1" applyBorder="1" applyAlignment="1">
      <alignment horizontal="center" vertical="center"/>
    </xf>
    <xf numFmtId="164" fontId="83" fillId="17" borderId="1" xfId="0" applyNumberFormat="1" applyFont="1" applyFill="1" applyBorder="1" applyAlignment="1">
      <alignment horizontal="center" vertical="center"/>
    </xf>
    <xf numFmtId="14" fontId="38" fillId="17" borderId="1" xfId="0" applyNumberFormat="1" applyFont="1" applyFill="1" applyBorder="1" applyAlignment="1">
      <alignment horizontal="center" vertical="center"/>
    </xf>
    <xf numFmtId="14" fontId="38" fillId="17" borderId="1" xfId="0" applyNumberFormat="1" applyFont="1" applyFill="1" applyBorder="1" applyAlignment="1">
      <alignment horizontal="center" vertical="center" wrapText="1"/>
    </xf>
    <xf numFmtId="0" fontId="38" fillId="17" borderId="1" xfId="0" applyFont="1" applyFill="1" applyBorder="1" applyAlignment="1">
      <alignment horizontal="center" vertical="center" wrapText="1"/>
    </xf>
    <xf numFmtId="9" fontId="38" fillId="17" borderId="1" xfId="0" applyNumberFormat="1" applyFont="1" applyFill="1" applyBorder="1" applyAlignment="1">
      <alignment horizontal="center" vertical="center"/>
    </xf>
    <xf numFmtId="0" fontId="38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/>
    <xf numFmtId="9" fontId="6" fillId="17" borderId="1" xfId="0" applyNumberFormat="1" applyFont="1" applyFill="1" applyBorder="1" applyAlignment="1">
      <alignment horizontal="center" vertical="center"/>
    </xf>
    <xf numFmtId="164" fontId="6" fillId="17" borderId="1" xfId="0" applyNumberFormat="1" applyFont="1" applyFill="1" applyBorder="1" applyAlignment="1">
      <alignment horizontal="center" vertical="center"/>
    </xf>
    <xf numFmtId="164" fontId="6" fillId="17" borderId="1" xfId="0" applyNumberFormat="1" applyFont="1" applyFill="1" applyBorder="1" applyAlignment="1">
      <alignment horizontal="center" vertical="center" wrapText="1"/>
    </xf>
    <xf numFmtId="9" fontId="87" fillId="17" borderId="1" xfId="0" applyNumberFormat="1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/>
    </xf>
    <xf numFmtId="1" fontId="38" fillId="18" borderId="1" xfId="0" applyNumberFormat="1" applyFont="1" applyFill="1" applyBorder="1" applyAlignment="1">
      <alignment horizontal="center" vertical="center"/>
    </xf>
    <xf numFmtId="0" fontId="37" fillId="18" borderId="1" xfId="0" applyFont="1" applyFill="1" applyBorder="1" applyAlignment="1">
      <alignment horizontal="center" vertical="center"/>
    </xf>
    <xf numFmtId="0" fontId="76" fillId="18" borderId="1" xfId="0" applyFont="1" applyFill="1" applyBorder="1" applyAlignment="1">
      <alignment horizontal="center" vertical="center" wrapText="1"/>
    </xf>
    <xf numFmtId="0" fontId="93" fillId="18" borderId="1" xfId="0" applyFont="1" applyFill="1" applyBorder="1" applyAlignment="1">
      <alignment horizontal="center" vertical="center" wrapText="1"/>
    </xf>
    <xf numFmtId="1" fontId="74" fillId="18" borderId="1" xfId="1" applyNumberFormat="1" applyFont="1" applyFill="1" applyBorder="1" applyAlignment="1" applyProtection="1">
      <alignment horizontal="center" vertical="center" wrapText="1"/>
      <protection hidden="1"/>
    </xf>
    <xf numFmtId="0" fontId="82" fillId="18" borderId="1" xfId="0" applyFont="1" applyFill="1" applyBorder="1" applyAlignment="1" applyProtection="1">
      <alignment horizontal="center" vertical="center"/>
      <protection hidden="1"/>
    </xf>
    <xf numFmtId="2" fontId="38" fillId="18" borderId="1" xfId="0" applyNumberFormat="1" applyFont="1" applyFill="1" applyBorder="1" applyAlignment="1" applyProtection="1">
      <alignment horizontal="center" vertical="center"/>
      <protection hidden="1"/>
    </xf>
    <xf numFmtId="9" fontId="38" fillId="18" borderId="1" xfId="1" applyFont="1" applyFill="1" applyBorder="1" applyAlignment="1" applyProtection="1">
      <alignment horizontal="center" vertical="center"/>
      <protection hidden="1"/>
    </xf>
    <xf numFmtId="14" fontId="9" fillId="18" borderId="1" xfId="0" applyNumberFormat="1" applyFont="1" applyFill="1" applyBorder="1" applyAlignment="1" applyProtection="1">
      <alignment horizontal="center" vertical="center" wrapText="1"/>
      <protection hidden="1"/>
    </xf>
    <xf numFmtId="0" fontId="38" fillId="18" borderId="1" xfId="0" applyFont="1" applyFill="1" applyBorder="1" applyAlignment="1" applyProtection="1">
      <alignment horizontal="center" vertical="center"/>
      <protection hidden="1"/>
    </xf>
    <xf numFmtId="14" fontId="38" fillId="18" borderId="1" xfId="0" applyNumberFormat="1" applyFont="1" applyFill="1" applyBorder="1" applyAlignment="1" applyProtection="1">
      <alignment horizontal="center" vertical="center"/>
      <protection hidden="1"/>
    </xf>
    <xf numFmtId="9" fontId="38" fillId="18" borderId="1" xfId="0" applyNumberFormat="1" applyFont="1" applyFill="1" applyBorder="1" applyAlignment="1" applyProtection="1">
      <alignment horizontal="center" vertical="center"/>
      <protection hidden="1"/>
    </xf>
    <xf numFmtId="49" fontId="38" fillId="18" borderId="1" xfId="0" applyNumberFormat="1" applyFont="1" applyFill="1" applyBorder="1" applyAlignment="1" applyProtection="1">
      <alignment horizontal="center" vertical="center"/>
      <protection hidden="1"/>
    </xf>
    <xf numFmtId="14" fontId="76" fillId="18" borderId="1" xfId="0" applyNumberFormat="1" applyFont="1" applyFill="1" applyBorder="1" applyAlignment="1" applyProtection="1">
      <alignment horizontal="center" vertical="center"/>
      <protection hidden="1"/>
    </xf>
    <xf numFmtId="3" fontId="38" fillId="18" borderId="1" xfId="0" applyNumberFormat="1" applyFont="1" applyFill="1" applyBorder="1" applyAlignment="1">
      <alignment horizontal="center"/>
    </xf>
    <xf numFmtId="164" fontId="78" fillId="18" borderId="1" xfId="0" applyNumberFormat="1" applyFont="1" applyFill="1" applyBorder="1" applyAlignment="1">
      <alignment horizontal="center" vertical="center"/>
    </xf>
    <xf numFmtId="164" fontId="83" fillId="18" borderId="1" xfId="0" applyNumberFormat="1" applyFont="1" applyFill="1" applyBorder="1" applyAlignment="1">
      <alignment horizontal="center" vertical="center"/>
    </xf>
    <xf numFmtId="14" fontId="38" fillId="18" borderId="1" xfId="0" applyNumberFormat="1" applyFont="1" applyFill="1" applyBorder="1" applyAlignment="1">
      <alignment horizontal="center" vertical="center"/>
    </xf>
    <xf numFmtId="14" fontId="38" fillId="18" borderId="1" xfId="0" applyNumberFormat="1" applyFont="1" applyFill="1" applyBorder="1" applyAlignment="1">
      <alignment horizontal="center" vertical="center" wrapText="1"/>
    </xf>
    <xf numFmtId="0" fontId="38" fillId="18" borderId="1" xfId="0" applyFont="1" applyFill="1" applyBorder="1" applyAlignment="1">
      <alignment horizontal="center" vertical="center" wrapText="1"/>
    </xf>
    <xf numFmtId="9" fontId="38" fillId="18" borderId="1" xfId="0" applyNumberFormat="1" applyFont="1" applyFill="1" applyBorder="1" applyAlignment="1">
      <alignment horizontal="center" vertical="center"/>
    </xf>
    <xf numFmtId="0" fontId="38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/>
    <xf numFmtId="9" fontId="6" fillId="18" borderId="1" xfId="0" applyNumberFormat="1" applyFont="1" applyFill="1" applyBorder="1" applyAlignment="1">
      <alignment horizontal="center" vertical="center"/>
    </xf>
    <xf numFmtId="164" fontId="6" fillId="18" borderId="1" xfId="0" applyNumberFormat="1" applyFont="1" applyFill="1" applyBorder="1" applyAlignment="1">
      <alignment horizontal="center" vertical="center"/>
    </xf>
    <xf numFmtId="164" fontId="6" fillId="18" borderId="1" xfId="0" applyNumberFormat="1" applyFont="1" applyFill="1" applyBorder="1" applyAlignment="1">
      <alignment horizontal="center" vertical="center" wrapText="1"/>
    </xf>
    <xf numFmtId="9" fontId="66" fillId="18" borderId="1" xfId="0" applyNumberFormat="1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1" fontId="38" fillId="4" borderId="1" xfId="0" applyNumberFormat="1" applyFont="1" applyFill="1" applyBorder="1" applyAlignment="1">
      <alignment horizontal="center" vertical="center"/>
    </xf>
    <xf numFmtId="1" fontId="74" fillId="4" borderId="1" xfId="1" applyNumberFormat="1" applyFont="1" applyFill="1" applyBorder="1" applyAlignment="1" applyProtection="1">
      <alignment horizontal="center" vertical="center" wrapText="1"/>
      <protection hidden="1"/>
    </xf>
    <xf numFmtId="14" fontId="82" fillId="4" borderId="1" xfId="0" applyNumberFormat="1" applyFont="1" applyFill="1" applyBorder="1" applyAlignment="1" applyProtection="1">
      <alignment horizontal="center" vertical="center"/>
      <protection hidden="1"/>
    </xf>
    <xf numFmtId="0" fontId="38" fillId="4" borderId="1" xfId="0" applyFont="1" applyFill="1" applyBorder="1" applyAlignment="1" applyProtection="1">
      <alignment horizontal="center" vertical="center"/>
      <protection hidden="1"/>
    </xf>
    <xf numFmtId="9" fontId="38" fillId="4" borderId="1" xfId="1" applyFont="1" applyFill="1" applyBorder="1" applyAlignment="1" applyProtection="1">
      <alignment horizontal="center" vertical="center"/>
      <protection hidden="1"/>
    </xf>
    <xf numFmtId="14" fontId="9" fillId="4" borderId="1" xfId="0" applyNumberFormat="1" applyFont="1" applyFill="1" applyBorder="1" applyAlignment="1" applyProtection="1">
      <alignment horizontal="center" vertical="center" wrapText="1"/>
      <protection hidden="1"/>
    </xf>
    <xf numFmtId="49" fontId="38" fillId="4" borderId="1" xfId="0" applyNumberFormat="1" applyFont="1" applyFill="1" applyBorder="1" applyAlignment="1" applyProtection="1">
      <alignment horizontal="center" vertical="center"/>
      <protection hidden="1"/>
    </xf>
    <xf numFmtId="14" fontId="38" fillId="4" borderId="1" xfId="0" applyNumberFormat="1" applyFont="1" applyFill="1" applyBorder="1" applyAlignment="1" applyProtection="1">
      <alignment horizontal="center" vertical="center"/>
      <protection hidden="1"/>
    </xf>
    <xf numFmtId="14" fontId="76" fillId="4" borderId="1" xfId="0" applyNumberFormat="1" applyFont="1" applyFill="1" applyBorder="1" applyAlignment="1" applyProtection="1">
      <alignment horizontal="center" vertical="center"/>
      <protection hidden="1"/>
    </xf>
    <xf numFmtId="3" fontId="38" fillId="4" borderId="1" xfId="0" applyNumberFormat="1" applyFont="1" applyFill="1" applyBorder="1" applyAlignment="1">
      <alignment horizontal="center"/>
    </xf>
    <xf numFmtId="164" fontId="78" fillId="4" borderId="1" xfId="0" applyNumberFormat="1" applyFont="1" applyFill="1" applyBorder="1" applyAlignment="1">
      <alignment horizontal="center" vertical="center"/>
    </xf>
    <xf numFmtId="164" fontId="44" fillId="4" borderId="1" xfId="0" applyNumberFormat="1" applyFont="1" applyFill="1" applyBorder="1" applyAlignment="1">
      <alignment horizontal="center" vertical="center" wrapText="1"/>
    </xf>
    <xf numFmtId="14" fontId="38" fillId="4" borderId="1" xfId="0" applyNumberFormat="1" applyFont="1" applyFill="1" applyBorder="1" applyAlignment="1">
      <alignment horizontal="center" vertical="center"/>
    </xf>
    <xf numFmtId="14" fontId="38" fillId="4" borderId="1" xfId="0" applyNumberFormat="1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164" fontId="6" fillId="4" borderId="1" xfId="0" applyNumberFormat="1" applyFont="1" applyFill="1" applyBorder="1" applyAlignment="1">
      <alignment horizontal="center" vertical="center" wrapText="1"/>
    </xf>
    <xf numFmtId="9" fontId="87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" fontId="95" fillId="0" borderId="1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horizontal="center" vertical="center" wrapText="1"/>
    </xf>
    <xf numFmtId="0" fontId="96" fillId="3" borderId="1" xfId="0" applyFont="1" applyFill="1" applyBorder="1" applyAlignment="1" applyProtection="1">
      <alignment horizontal="center" vertical="center" wrapText="1"/>
      <protection hidden="1"/>
    </xf>
    <xf numFmtId="0" fontId="97" fillId="0" borderId="1" xfId="0" applyFont="1" applyBorder="1" applyAlignment="1" applyProtection="1">
      <alignment horizontal="center" vertical="center"/>
      <protection hidden="1"/>
    </xf>
    <xf numFmtId="14" fontId="97" fillId="0" borderId="1" xfId="0" applyNumberFormat="1" applyFont="1" applyBorder="1" applyAlignment="1" applyProtection="1">
      <alignment horizontal="center" vertical="center"/>
      <protection hidden="1"/>
    </xf>
    <xf numFmtId="0" fontId="97" fillId="0" borderId="1" xfId="0" applyFont="1" applyBorder="1" applyAlignment="1" applyProtection="1">
      <alignment horizontal="center" vertical="center" wrapText="1"/>
      <protection hidden="1"/>
    </xf>
    <xf numFmtId="49" fontId="97" fillId="0" borderId="1" xfId="0" applyNumberFormat="1" applyFont="1" applyBorder="1" applyAlignment="1" applyProtection="1">
      <alignment horizontal="center" vertical="center"/>
      <protection hidden="1"/>
    </xf>
    <xf numFmtId="9" fontId="37" fillId="0" borderId="1" xfId="0" applyNumberFormat="1" applyFont="1" applyBorder="1" applyAlignment="1" applyProtection="1">
      <alignment horizontal="center" vertical="center"/>
      <protection hidden="1"/>
    </xf>
    <xf numFmtId="0" fontId="37" fillId="18" borderId="1" xfId="0" applyFont="1" applyFill="1" applyBorder="1" applyAlignment="1" applyProtection="1">
      <alignment horizontal="center" vertical="center"/>
      <protection hidden="1"/>
    </xf>
    <xf numFmtId="1" fontId="37" fillId="0" borderId="1" xfId="0" applyNumberFormat="1" applyFont="1" applyBorder="1" applyAlignment="1" applyProtection="1">
      <alignment horizontal="center" vertical="center"/>
      <protection hidden="1"/>
    </xf>
    <xf numFmtId="49" fontId="37" fillId="16" borderId="1" xfId="0" applyNumberFormat="1" applyFont="1" applyFill="1" applyBorder="1" applyAlignment="1" applyProtection="1">
      <alignment horizontal="center" vertical="center"/>
      <protection hidden="1"/>
    </xf>
    <xf numFmtId="1" fontId="3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8" fillId="2" borderId="1" xfId="1" applyFont="1" applyFill="1" applyBorder="1" applyAlignment="1" applyProtection="1">
      <alignment horizontal="center" vertical="center"/>
      <protection hidden="1"/>
    </xf>
    <xf numFmtId="0" fontId="4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48" fillId="3" borderId="1" xfId="2" applyFill="1" applyBorder="1" applyAlignment="1">
      <alignment horizontal="center" vertical="center"/>
    </xf>
    <xf numFmtId="0" fontId="81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9" fontId="37" fillId="10" borderId="1" xfId="1" applyFont="1" applyFill="1" applyBorder="1" applyAlignment="1" applyProtection="1">
      <alignment horizontal="center" vertical="center"/>
      <protection hidden="1"/>
    </xf>
    <xf numFmtId="9" fontId="40" fillId="10" borderId="1" xfId="1" applyFont="1" applyFill="1" applyBorder="1" applyAlignment="1" applyProtection="1">
      <alignment horizontal="center" vertical="center"/>
      <protection hidden="1"/>
    </xf>
    <xf numFmtId="0" fontId="38" fillId="2" borderId="1" xfId="0" applyFont="1" applyFill="1" applyBorder="1" applyAlignment="1" applyProtection="1">
      <alignment horizontal="center" vertical="center" wrapText="1"/>
      <protection hidden="1"/>
    </xf>
    <xf numFmtId="0" fontId="40" fillId="0" borderId="1" xfId="0" applyFont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9" fontId="40" fillId="0" borderId="1" xfId="1" applyFont="1" applyBorder="1" applyAlignment="1" applyProtection="1">
      <alignment horizontal="center" vertical="center"/>
      <protection hidden="1"/>
    </xf>
  </cellXfs>
  <cellStyles count="4">
    <cellStyle name="Hiperligação" xfId="2" builtinId="8"/>
    <cellStyle name="Normal" xfId="0" builtinId="0"/>
    <cellStyle name="Normal 2" xfId="3" xr:uid="{79653069-FE8C-4D79-965C-16E4B633006C}"/>
    <cellStyle name="Percentagem" xfId="1" builtinId="5"/>
  </cellStyles>
  <dxfs count="7">
    <dxf>
      <fill>
        <patternFill patternType="solid">
          <fgColor rgb="FFC6E0B4"/>
          <bgColor rgb="FFC6E0B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DD7EE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8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.1%20-%20Lista%20clientes%20-%20dossiers\Consulado%20ESP%2012-05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ga&#231;&#227;oExternaRecuperada1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J/John%20Rogers%20(1176)/1176.004%20Tax%20Return/Tax%20return%202025/Susan%20Rogers/Excel/1176.004%202025%20Portugal%20Tax%20Notes%20CVSP_%20CAT%20F%20PT.xlsx" TargetMode="External"/><Relationship Id="rId2" Type="http://schemas.openxmlformats.org/officeDocument/2006/relationships/externalLinkPath" Target="file:///T:\J\John%20Rogers%20(1176)\1176.004%20Tax%20Return\Tax%20return%202025\Susan%20Rogers\Excel\1176.004%202025%20Portugal%20Tax%20Notes%20CVSP_%20CAT%20F%20PT.xlsx" TargetMode="External"/><Relationship Id="rId1" Type="http://schemas.openxmlformats.org/officeDocument/2006/relationships/externalLinkPath" Target="/J/John%20Rogers%20(1176)/1176.004%20Tax%20Return/Tax%20return%202025/Susan%20Rogers/Excel/1176.004%202025%20Portugal%20Tax%20Notes%20CVSP_%20CAT%20F%20PT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D/Dominic%20Salole%20(Mocky)%20(1191)/1191.004%20TAX%20RETURN/2025/Excel/1191.004%202025%20Portugal%20Tax%20Notes%20CVSP_%20CAT%20F%20PT.xlsx" TargetMode="External"/><Relationship Id="rId2" Type="http://schemas.openxmlformats.org/officeDocument/2006/relationships/externalLinkPath" Target="file:///T:\D\Dominic%20Salole%20(Mocky)%20(1191)\1191.004%20TAX%20RETURN\2025\Excel\1191.004%202025%20Portugal%20Tax%20Notes%20CVSP_%20CAT%20F%20PT.xlsx" TargetMode="External"/><Relationship Id="rId1" Type="http://schemas.openxmlformats.org/officeDocument/2006/relationships/externalLinkPath" Target="/D/Dominic%20Salole%20(Mocky)%20(1191)/1191.004%20TAX%20RETURN/2025/Excel/1191.004%202025%20Portugal%20Tax%20Notes%20CVSP_%20CAT%20F%20P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ga&#231;&#227;oExternaRecuperada2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A/Antonio%20Evans%20(1663)/1663.001%20Tax%20return/2025/Excel/1663.001%202025%20Portugal%20Tax%20Notes%20CVSP_MATRIZ%201.2.xlsx" TargetMode="External"/><Relationship Id="rId2" Type="http://schemas.openxmlformats.org/officeDocument/2006/relationships/externalLinkPath" Target="file:///T:\A\Antonio%20Evans%20(1663)\1663.001%20Tax%20return\2025\Excel\1663.001%202025%20Portugal%20Tax%20Notes%20CVSP_MATRIZ%201.2.xlsx" TargetMode="External"/><Relationship Id="rId1" Type="http://schemas.openxmlformats.org/officeDocument/2006/relationships/externalLinkPath" Target="/A/Antonio%20Evans%20(1663)/1663.001%20Tax%20return/2025/Excel/1663.001%202025%20Portugal%20Tax%20Notes%20CVSP_MATRIZ%201.2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T/Tony%20Sharrock%20(1281)/1281.002%20Tax%20Return/2025/Excel/1281.001%202025%20Portugal%20Tax%20Notes%20CVSP_PT%20NEW.xlsx" TargetMode="External"/><Relationship Id="rId2" Type="http://schemas.openxmlformats.org/officeDocument/2006/relationships/externalLinkPath" Target="file:///T:\T\Tony%20Sharrock%20(1281)\1281.002%20Tax%20Return\2025\Excel\1281.001%202025%20Portugal%20Tax%20Notes%20CVSP_PT%20NEW.xlsx" TargetMode="External"/><Relationship Id="rId1" Type="http://schemas.openxmlformats.org/officeDocument/2006/relationships/externalLinkPath" Target="/T/Tony%20Sharrock%20(1281)/1281.002%20Tax%20Return/2025/Excel/1281.001%202025%20Portugal%20Tax%20Notes%20CVSP_PT%20NEW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vsp_hp_jsp\cvsp\CLIENTES%201000\M\Marius%20Niemann%20(1350)\1350.003%20Tax%20Return\2025\Excel\1350.003%202025%20Portugal%20Tax%20Notes%20CVSP_MATRIZ%201.2.xlsx" TargetMode="External"/><Relationship Id="rId1" Type="http://schemas.openxmlformats.org/officeDocument/2006/relationships/externalLinkPath" Target="file:///\\Cvsp_hp_jsp\cvsp\CLIENTES%201000\M\Marius%20Niemann%20(1350)\1350.003%20Tax%20Return\2025\Excel\1350.003%202025%20Portugal%20Tax%20Notes%20CVSP_MATRIZ%201.2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J/Johannes%20Koopman%20(1394)/1394.003%20Tax%20return/2025/Excel/1394.003%202025%20Portugal%20Tax%20Notes%20CVSP_MATRIZ%201.2.xlsx" TargetMode="External"/><Relationship Id="rId2" Type="http://schemas.openxmlformats.org/officeDocument/2006/relationships/externalLinkPath" Target="file:///T:\J\Johannes%20Koopman%20(1394)\1394.003%20Tax%20return\2025\Excel\1394.003%202025%20Portugal%20Tax%20Notes%20CVSP_MATRIZ%201.2.xlsx" TargetMode="External"/><Relationship Id="rId1" Type="http://schemas.openxmlformats.org/officeDocument/2006/relationships/externalLinkPath" Target="/J/Johannes%20Koopman%20(1394)/1394.003%20Tax%20return/2025/Excel/1394.003%202025%20Portugal%20Tax%20Notes%20CVSP_MATRIZ%201.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ga&#231;&#227;oExternaRecuperada3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/Maria%20Teresa%20Rojas%20(1411)/1411.002%20TAX%20RETURN/2025/Excel/1411.002%202025%20Portugal%20Tax%20Notes%20CVSP_MATRIZ%201.3.xlsx" TargetMode="External"/><Relationship Id="rId2" Type="http://schemas.openxmlformats.org/officeDocument/2006/relationships/externalLinkPath" Target="file:///W:\M\Maria%20Teresa%20Rojas%20(1411)\1411.002%20TAX%20RETURN\2025\Excel\1411.002%202025%20Portugal%20Tax%20Notes%20CVSP_MATRIZ%201.3.xlsx" TargetMode="External"/><Relationship Id="rId1" Type="http://schemas.openxmlformats.org/officeDocument/2006/relationships/externalLinkPath" Target="/M/Maria%20Teresa%20Rojas%20(1411)/1411.002%20TAX%20RETURN/2025/Excel/1411.002%202025%20Portugal%20Tax%20Notes%20CVSP_MATRIZ%201.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ga&#231;&#227;oExternaRecuperada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ga&#231;&#227;oExternaRecuperada5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J/Jos&#233;%20Ram&#243;n%20Torralbo%20(1482)/1482.007%20%20Tax%20Return/2025/Excel/1482.007%202025%20Portugal%20Tax%20Notes%20CVSP_MATRIZ%201.2.xlsx" TargetMode="External"/><Relationship Id="rId2" Type="http://schemas.openxmlformats.org/officeDocument/2006/relationships/externalLinkPath" Target="file:///W:\J\Jos&#233;%20Ram&#243;n%20Torralbo%20(1482)\1482.007%20%20Tax%20Return\2025\Excel\1482.007%202025%20Portugal%20Tax%20Notes%20CVSP_MATRIZ%201.2.xlsx" TargetMode="External"/><Relationship Id="rId1" Type="http://schemas.openxmlformats.org/officeDocument/2006/relationships/externalLinkPath" Target="/J/Jos&#233;%20Ram&#243;n%20Torralbo%20(1482)/1482.007%20%20Tax%20Return/2025/Excel/1482.007%202025%20Portugal%20Tax%20Notes%20CVSP_MATRIZ%201.2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F/Filimena%20Radonjanin-Stojmirova%20(1493)/1493.004%20TAX%20RETURN/2025/Excel/1493.004%202025_Portugal_Tax_Notes_CVSP_Filimena_RS.xlsx" TargetMode="External"/><Relationship Id="rId2" Type="http://schemas.openxmlformats.org/officeDocument/2006/relationships/externalLinkPath" Target="file:///T:\F\Filimena%20Radonjanin-Stojmirova%20(1493)\1493.004%20TAX%20RETURN\2025\Excel\1493.004%202025_Portugal_Tax_Notes_CVSP_Filimena_RS.xlsx" TargetMode="External"/><Relationship Id="rId1" Type="http://schemas.openxmlformats.org/officeDocument/2006/relationships/externalLinkPath" Target="/F/Filimena%20Radonjanin-Stojmirova%20(1493)/1493.004%20TAX%20RETURN/2025/Excel/1493.004%202025_Portugal_Tax_Notes_CVSP_Filimena_RS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/Milena%20C.%20Ophuls%20(1508)/1508.002%20Tax%20Return/2025/Excel/2025%20Portugal%20Tax%20Notes%20CVSP_MATRIZ%201.2.xlsx" TargetMode="External"/><Relationship Id="rId2" Type="http://schemas.openxmlformats.org/officeDocument/2006/relationships/externalLinkPath" Target="file:///T:\M\Milena%20C.%20Ophuls%20(1508)\1508.002%20Tax%20Return\2025\Excel\2025%20Portugal%20Tax%20Notes%20CVSP_MATRIZ%201.2.xlsx" TargetMode="External"/><Relationship Id="rId1" Type="http://schemas.openxmlformats.org/officeDocument/2006/relationships/externalLinkPath" Target="/M/Milena%20C.%20Ophuls%20(1508)/1508.002%20Tax%20Return/2025/Excel/2025%20Portugal%20Tax%20Notes%20CVSP_MATRIZ%201.2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J/Julia%20De%20Clerck-Sachsse%20(1510)/1510.003%20Tax%20Return/2025/Excel/1510.003%202025%20Portugal%20Tax%20Notes%20CVSP_MATRIZ%20CONTAS%20BANC&#193;RIAS.xlsx" TargetMode="External"/><Relationship Id="rId2" Type="http://schemas.openxmlformats.org/officeDocument/2006/relationships/externalLinkPath" Target="file:///T:\J\Julia%20De%20Clerck-Sachsse%20(1510)\1510.003%20Tax%20Return\2025\Excel\1510.003%202025%20Portugal%20Tax%20Notes%20CVSP_MATRIZ%20CONTAS%20BANC&#193;RIAS.xlsx" TargetMode="External"/><Relationship Id="rId1" Type="http://schemas.openxmlformats.org/officeDocument/2006/relationships/externalLinkPath" Target="/J/Julia%20De%20Clerck-Sachsse%20(1510)/1510.003%20Tax%20Return/2025/Excel/1510.003%202025%20Portugal%20Tax%20Notes%20CVSP_MATRIZ%20CONTAS%20BANC&#193;RIA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ga&#231;&#227;oExternaRecuperada6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/Miles%20Johnson%20(1556)/1556.005%20Tax%20Return/2025/Excel/1556.005%202025%20Portugal%20Tax%20Notes%20CVSP_MATRIZ%201.2.xlsx" TargetMode="External"/><Relationship Id="rId2" Type="http://schemas.openxmlformats.org/officeDocument/2006/relationships/externalLinkPath" Target="file:///T:\M\Miles%20Johnson%20(1556)\1556.005%20Tax%20Return\2025\Excel\1556.005%202025%20Portugal%20Tax%20Notes%20CVSP_MATRIZ%201.2.xlsx" TargetMode="External"/><Relationship Id="rId1" Type="http://schemas.openxmlformats.org/officeDocument/2006/relationships/externalLinkPath" Target="/M/Miles%20Johnson%20(1556)/1556.005%20Tax%20Return/2025/Excel/1556.005%202025%20Portugal%20Tax%20Notes%20CVSP_MATRIZ%201.2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G/Geert%20Schute%20(1570)/1570.003%20Tax%20return/2025/Excel/1570_003_2025_Portugal_Tax_Notes_CVSP_MATRIZ_corrigida.xlsx" TargetMode="External"/><Relationship Id="rId2" Type="http://schemas.openxmlformats.org/officeDocument/2006/relationships/externalLinkPath" Target="file:///T:\G\Geert%20Schute%20(1570)\1570.003%20Tax%20return\2025\Excel\1570_003_2025_Portugal_Tax_Notes_CVSP_MATRIZ_corrigida.xlsx" TargetMode="External"/><Relationship Id="rId1" Type="http://schemas.openxmlformats.org/officeDocument/2006/relationships/externalLinkPath" Target="/G/Geert%20Schute%20(1570)/1570.003%20Tax%20return/2025/Excel/1570_003_2025_Portugal_Tax_Notes_CVSP_MATRIZ_corrigida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/Mamdouha%20Ahdab%20(1587)/1587.003%20Tax%20Return/2025/Excel/1587.003%202025%20Portugal%20Tax%20Notes%20CVSP_MATRIZ%201.0.xlsx" TargetMode="External"/><Relationship Id="rId2" Type="http://schemas.openxmlformats.org/officeDocument/2006/relationships/externalLinkPath" Target="file:///T:\M\Mamdouha%20Ahdab%20(1587)\1587.003%20Tax%20Return\2025\Excel\1587.003%202025%20Portugal%20Tax%20Notes%20CVSP_MATRIZ%201.0.xlsx" TargetMode="External"/><Relationship Id="rId1" Type="http://schemas.openxmlformats.org/officeDocument/2006/relationships/externalLinkPath" Target="/M/Mamdouha%20Ahdab%20(1587)/1587.003%20Tax%20Return/2025/Excel/1587.003%202025%20Portugal%20Tax%20Notes%20CVSP_MATRIZ%201.0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/Abraham%20Schotts%20(1600)/1600.002%20%20TAX%20RETURN/2025/Excel/1600_002_2025_Portugal_Tax_Notes_CVSP_MATRIZ_CORRIGIDO_.xlsx" TargetMode="External"/><Relationship Id="rId2" Type="http://schemas.openxmlformats.org/officeDocument/2006/relationships/externalLinkPath" Target="file:///W:\A\Abraham%20Schotts%20(1600)\1600.002%20%20TAX%20RETURN\2025\Excel\1600_002_2025_Portugal_Tax_Notes_CVSP_MATRIZ_CORRIGIDO_.xlsx" TargetMode="External"/><Relationship Id="rId1" Type="http://schemas.openxmlformats.org/officeDocument/2006/relationships/externalLinkPath" Target="/A/Abraham%20Schotts%20(1600)/1600.002%20%20TAX%20RETURN/2025/Excel/1600_002_2025_Portugal_Tax_Notes_CVSP_MATRIZ_CORRIGIDO_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D/Dan%20Williams%20(1618)/1618.001%20Tax%20Return/2025/Excel/1618.001%202025%20Portugal%20Tax%20Notes%20CVSP_MATRIZ%201.3.xlsx" TargetMode="External"/><Relationship Id="rId2" Type="http://schemas.openxmlformats.org/officeDocument/2006/relationships/externalLinkPath" Target="file:///T:\D\Dan%20Williams%20(1618)\1618.001%20Tax%20Return\2025\Excel\1618.001%202025%20Portugal%20Tax%20Notes%20CVSP_MATRIZ%201.3.xlsx" TargetMode="External"/><Relationship Id="rId1" Type="http://schemas.openxmlformats.org/officeDocument/2006/relationships/externalLinkPath" Target="/D/Dan%20Williams%20(1618)/1618.001%20Tax%20Return/2025/Excel/1618.001%202025%20Portugal%20Tax%20Notes%20CVSP_MATRIZ%201.3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K/Kiu%20Coates%20(1721)/1721.002%20Tax%20Return/2025/Excel/1721.002%202025%20Portugal%20Tax%20Notes%20CVSP_MATRIZ%201.2.xlsx" TargetMode="External"/><Relationship Id="rId2" Type="http://schemas.openxmlformats.org/officeDocument/2006/relationships/externalLinkPath" Target="file:///W:\K\Kiu%20Coates%20(1721)\1721.002%20Tax%20Return\2025\Excel\1721.002%202025%20Portugal%20Tax%20Notes%20CVSP_MATRIZ%201.2.xlsx" TargetMode="External"/><Relationship Id="rId1" Type="http://schemas.openxmlformats.org/officeDocument/2006/relationships/externalLinkPath" Target="/K/Kiu%20Coates%20(1721)/1721.002%20Tax%20Return/2025/Excel/1721.002%202025%20Portugal%20Tax%20Notes%20CVSP_MATRIZ%201.2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P/Paula%20Pantoja%20(1794)/1794.001%20Tax%20Return/2025/Excel/1794.001%202025%20Portugal%20Tax%20Notes%20CVSP_MATRIZ%201.0.xlsx" TargetMode="External"/><Relationship Id="rId2" Type="http://schemas.openxmlformats.org/officeDocument/2006/relationships/externalLinkPath" Target="file:///W:\P\Paula%20Pantoja%20(1794)\1794.001%20Tax%20Return\2025\Excel\1794.001%202025%20Portugal%20Tax%20Notes%20CVSP_MATRIZ%201.0.xlsx" TargetMode="External"/><Relationship Id="rId1" Type="http://schemas.openxmlformats.org/officeDocument/2006/relationships/externalLinkPath" Target="/P/Paula%20Pantoja%20(1794)/1794.001%20Tax%20Return/2025/Excel/1794.001%202025%20Portugal%20Tax%20Notes%20CVSP_MATRIZ%20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lado ESP"/>
      <sheetName val="Potenciais"/>
      <sheetName val="Folha1"/>
    </sheetNames>
    <sheetDataSet>
      <sheetData sheetId="0">
        <row r="15">
          <cell r="H15" t="str">
            <v>test2@gmail.com</v>
          </cell>
        </row>
        <row r="20">
          <cell r="AI20"/>
        </row>
        <row r="21">
          <cell r="AI21"/>
        </row>
        <row r="22">
          <cell r="AI22"/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Info"/>
      <sheetName val="Contas bancárias"/>
      <sheetName val="1. Dividendos ou Juros"/>
      <sheetName val="Lista Moedas"/>
      <sheetName val="2. Salário"/>
      <sheetName val="Forex"/>
      <sheetName val="Rates 2025"/>
      <sheetName val="Rates &lt;2025"/>
      <sheetName val="Lista"/>
      <sheetName val="Income + taxes 2025"/>
      <sheetName val="US bank accounts"/>
      <sheetName val="Dividends"/>
      <sheetName val="Emails"/>
      <sheetName val="Screenshots"/>
      <sheetName val="preconsig"/>
      <sheetName val="Planilha2"/>
      <sheetName val="IRS 2025"/>
      <sheetName val="IRS 2023 OLD"/>
      <sheetName val="IRS 2023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Ref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Rendimentos fonte PT"/>
      <sheetName val="Screenshots"/>
      <sheetName val="Notas"/>
    </sheetNames>
    <sheetDataSet>
      <sheetData sheetId="0">
        <row r="9">
          <cell r="C9">
            <v>1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Modelo3_AnexoF"/>
      <sheetName val="Rendimentos fonte PT"/>
    </sheetNames>
    <sheetDataSet>
      <sheetData sheetId="0">
        <row r="9">
          <cell r="C9">
            <v>1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Info"/>
      <sheetName val="Contas bancárias"/>
      <sheetName val="Lista Moedas"/>
      <sheetName val="Forex"/>
      <sheetName val="Rates 2025"/>
      <sheetName val="Rates &lt;2025"/>
      <sheetName val="Lista"/>
      <sheetName val="Emails"/>
      <sheetName val="Screenshots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Modelo3_AntonioEvans"/>
      <sheetName val="Contas bancárias"/>
      <sheetName val="Lista Moedas"/>
      <sheetName val="2. Pensão"/>
      <sheetName val="Forex"/>
      <sheetName val="Rates 2025"/>
      <sheetName val="Rates &lt;2025"/>
      <sheetName val="Lista"/>
      <sheetName val="Emails"/>
      <sheetName val="Screenshots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Modelo3_1281-002"/>
      <sheetName val="Contas bancárias TS"/>
      <sheetName val="Declarado Apuramento_1281-002"/>
      <sheetName val="2. Salary GBP"/>
      <sheetName val="2. Salary GBP (2)"/>
      <sheetName val="CDT_PT-UK_comparativo"/>
      <sheetName val="Contas bancárias"/>
      <sheetName val="Rendimentos fonte PT"/>
      <sheetName val="Lista"/>
    </sheetNames>
    <sheetDataSet>
      <sheetData sheetId="0">
        <row r="8">
          <cell r="C8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"/>
      <sheetName val="Info"/>
      <sheetName val="Contas bancárias"/>
      <sheetName val="Sheet1"/>
      <sheetName val="Lista Moedas"/>
      <sheetName val="Forex"/>
      <sheetName val="Rates 2025"/>
      <sheetName val="Rates &lt;2025"/>
      <sheetName val="Lista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Contas bancárias"/>
      <sheetName val="Lista Moedas"/>
      <sheetName val="Forex"/>
      <sheetName val="Rates 2025"/>
      <sheetName val="Rates &lt;2025"/>
      <sheetName val="Lista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Info"/>
      <sheetName val="Contas bancárias"/>
      <sheetName val="1. Dividendos Malta"/>
      <sheetName val="Lista Moedas"/>
      <sheetName val="Forex"/>
      <sheetName val="Rates 2025"/>
      <sheetName val="Rates &lt;2025"/>
      <sheetName val="Lista"/>
      <sheetName val="Emails"/>
      <sheetName val="Screenshots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Contas bancárias"/>
      <sheetName val="Contas bancárias (2)"/>
      <sheetName val="Rendimentos fonte PT"/>
      <sheetName val="1. Dividendos ou Juros"/>
      <sheetName val="Lista Moedas"/>
      <sheetName val="2. Salário"/>
      <sheetName val="3. Ganhos de Capital"/>
      <sheetName val="Forex"/>
      <sheetName val="Rates 2025"/>
      <sheetName val="Rates &lt;2025"/>
      <sheetName val="Lista"/>
      <sheetName val="UAH"/>
      <sheetName val="Emails"/>
      <sheetName val="Comentários"/>
      <sheetName val="Screenshots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Info"/>
      <sheetName val="Contas bancárias"/>
      <sheetName val="Lista Moedas"/>
      <sheetName val="Forex"/>
      <sheetName val="Rates 2025"/>
      <sheetName val="Rates &lt;2025"/>
      <sheetName val="Lista"/>
      <sheetName val="Emails"/>
      <sheetName val="Screenshots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ontas bancárias"/>
      <sheetName val="Rendimentos fonte PT"/>
      <sheetName val="Lista"/>
    </sheetNames>
    <sheetDataSet>
      <sheetData sheetId="0">
        <row r="8">
          <cell r="C8">
            <v>1</v>
          </cell>
        </row>
      </sheetData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Contas bancárias José"/>
      <sheetName val="Contas bancárias Elena"/>
      <sheetName val="1. Dividendos ou Juros"/>
      <sheetName val="Lista Moedas"/>
      <sheetName val="2. Salário"/>
      <sheetName val="3. Ganhos de Capital"/>
      <sheetName val="Forex"/>
      <sheetName val="Rates 2025"/>
      <sheetName val="Rates &lt;2025"/>
      <sheetName val="Lista"/>
      <sheetName val="Emails"/>
      <sheetName val="Screenshots"/>
      <sheetName val="preconsig"/>
    </sheetNames>
    <sheetDataSet>
      <sheetData sheetId="0"/>
      <sheetData sheetId="1">
        <row r="14">
          <cell r="C14">
            <v>0.15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Sumario e Facsimile"/>
      <sheetName val="Contas bancárias"/>
      <sheetName val="Contas bancárias (2)"/>
      <sheetName val="1. Dividendos ou Juros"/>
      <sheetName val="Lista Moedas"/>
      <sheetName val="2. Salário"/>
      <sheetName val="Forex"/>
      <sheetName val="Rates 2025"/>
      <sheetName val="Rates &lt;2025"/>
      <sheetName val="Lista"/>
      <sheetName val="Emails"/>
      <sheetName val="Screenshots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Contas bancárias"/>
      <sheetName val="Lista Moedas"/>
      <sheetName val="1. Dividendos ou Juros"/>
      <sheetName val="2. Salário"/>
      <sheetName val="Forex"/>
      <sheetName val="Rates 2025"/>
      <sheetName val="Rates &lt;2025"/>
      <sheetName val="Lista"/>
      <sheetName val="Emails"/>
      <sheetName val="Screenshots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Contas bancárias"/>
      <sheetName val="Lista"/>
    </sheetNames>
    <sheetDataSet>
      <sheetData sheetId="0">
        <row r="8">
          <cell r="C8">
            <v>1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ontas bancárias"/>
      <sheetName val="Lista"/>
    </sheetNames>
    <sheetDataSet>
      <sheetData sheetId="0">
        <row r="8">
          <cell r="C8">
            <v>1</v>
          </cell>
        </row>
      </sheetData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Contas bancárias Miles"/>
      <sheetName val="Contas bancárias Charlotte"/>
      <sheetName val="Lista Moedas"/>
      <sheetName val="Forex"/>
      <sheetName val="Rates 2025"/>
      <sheetName val="Rates &lt;2025"/>
      <sheetName val="Lista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Contas bancárias"/>
      <sheetName val="1. Dividendos ou Juros"/>
      <sheetName val="Lista Moedas"/>
      <sheetName val="Forex"/>
      <sheetName val="Rates 2025"/>
      <sheetName val="Rates &lt;2025"/>
      <sheetName val="Lista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IRS 2025 – Facsimile"/>
      <sheetName val="Contas bancárias"/>
      <sheetName val="Lista Moedas"/>
      <sheetName val="2. Cat B Estrangeiro"/>
      <sheetName val="Forex"/>
      <sheetName val="Rates 2025"/>
      <sheetName val="Rates &lt;2025"/>
      <sheetName val="Lista"/>
      <sheetName val="Resumo e Conversão"/>
      <sheetName val="SCREENSHOTS"/>
    </sheetNames>
    <sheetDataSet>
      <sheetData sheetId="0">
        <row r="9">
          <cell r="C9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Sumário Executivo"/>
      <sheetName val="Contas bancárias"/>
      <sheetName val="1. Dividendos ou Juros"/>
      <sheetName val="Lista Moedas"/>
      <sheetName val="Forex"/>
      <sheetName val="Rates 2025"/>
      <sheetName val="Rates &lt;2025"/>
      <sheetName val="Lista"/>
      <sheetName val="1. Rental Income UK"/>
      <sheetName val="Emails"/>
      <sheetName val="Screenshots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Sumário Executivo"/>
      <sheetName val="Contas bancárias"/>
      <sheetName val="Dividends GBP"/>
      <sheetName val="Interests Revolut GBP USD €"/>
      <sheetName val="Interest USD"/>
      <sheetName val="USD"/>
      <sheetName val="GBP"/>
    </sheetNames>
    <sheetDataSet>
      <sheetData sheetId="0">
        <row r="9">
          <cell r="C9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Info"/>
      <sheetName val="Kumars Coates – IRS 2025"/>
      <sheetName val="Contas bancárias"/>
      <sheetName val="Lista Moedas"/>
      <sheetName val="2. Salário"/>
      <sheetName val="Forex"/>
      <sheetName val="Rates 2025"/>
      <sheetName val="Rates &lt;2025"/>
      <sheetName val="Lista"/>
      <sheetName val="preconsig"/>
    </sheetNames>
    <sheetDataSet>
      <sheetData sheetId="0"/>
      <sheetData sheetId="1">
        <row r="14">
          <cell r="C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Contas bancárias"/>
      <sheetName val="Lista Moedas"/>
      <sheetName val="Forex"/>
      <sheetName val="Rates 2025"/>
      <sheetName val="Rates &lt;2025"/>
      <sheetName val="Lista"/>
      <sheetName val="Folha1"/>
      <sheetName val="Resumo"/>
    </sheetNames>
    <sheetDataSet>
      <sheetData sheetId="0">
        <row r="9">
          <cell r="C9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EFCJGBLMTUJ@1c" TargetMode="External"/><Relationship Id="rId13" Type="http://schemas.openxmlformats.org/officeDocument/2006/relationships/hyperlink" Target="mailto:B3G1JeoWN&#8211;h@" TargetMode="External"/><Relationship Id="rId18" Type="http://schemas.openxmlformats.org/officeDocument/2006/relationships/hyperlink" Target="mailto:B3G1JeoWN&#8211;h@" TargetMode="External"/><Relationship Id="rId26" Type="http://schemas.openxmlformats.org/officeDocument/2006/relationships/hyperlink" Target="mailto:B3G1JeoWN&#8211;h@" TargetMode="External"/><Relationship Id="rId3" Type="http://schemas.openxmlformats.org/officeDocument/2006/relationships/hyperlink" Target="mailto:B3G1JeoWN&#8211;h@" TargetMode="External"/><Relationship Id="rId21" Type="http://schemas.openxmlformats.org/officeDocument/2006/relationships/hyperlink" Target="mailto:B3G1JeoWN&#8211;h@" TargetMode="External"/><Relationship Id="rId7" Type="http://schemas.openxmlformats.org/officeDocument/2006/relationships/hyperlink" Target="mailto:B3G1JeoWN&#8211;h@" TargetMode="External"/><Relationship Id="rId12" Type="http://schemas.openxmlformats.org/officeDocument/2006/relationships/hyperlink" Target="mailto:B3G1JeoWN&#8211;h@" TargetMode="External"/><Relationship Id="rId17" Type="http://schemas.openxmlformats.org/officeDocument/2006/relationships/hyperlink" Target="mailto:B3G1JeoWN&#8211;h@" TargetMode="External"/><Relationship Id="rId25" Type="http://schemas.openxmlformats.org/officeDocument/2006/relationships/hyperlink" Target="mailto:B3G1JeoWN&#8211;h@" TargetMode="External"/><Relationship Id="rId2" Type="http://schemas.openxmlformats.org/officeDocument/2006/relationships/hyperlink" Target="mailto:B3G1JeoWN&#8211;h@" TargetMode="External"/><Relationship Id="rId16" Type="http://schemas.openxmlformats.org/officeDocument/2006/relationships/hyperlink" Target="mailto:B3G1JeoWN&#8211;h@" TargetMode="External"/><Relationship Id="rId20" Type="http://schemas.openxmlformats.org/officeDocument/2006/relationships/hyperlink" Target="mailto:B3G1JeoWN&#8211;h@" TargetMode="External"/><Relationship Id="rId29" Type="http://schemas.openxmlformats.org/officeDocument/2006/relationships/hyperlink" Target="mailto:B3G1JeoWN&#8211;h@" TargetMode="External"/><Relationship Id="rId1" Type="http://schemas.openxmlformats.org/officeDocument/2006/relationships/hyperlink" Target="mailto:mockyrecordings@gmail.com" TargetMode="External"/><Relationship Id="rId6" Type="http://schemas.openxmlformats.org/officeDocument/2006/relationships/hyperlink" Target="mailto:B3G1JeoWN&#8211;h@" TargetMode="External"/><Relationship Id="rId11" Type="http://schemas.openxmlformats.org/officeDocument/2006/relationships/hyperlink" Target="mailto:B3G1JeoWN&#8211;h@" TargetMode="External"/><Relationship Id="rId24" Type="http://schemas.openxmlformats.org/officeDocument/2006/relationships/hyperlink" Target="mailto:david@raviv.co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B3G1JeoWN&#8211;h@" TargetMode="External"/><Relationship Id="rId15" Type="http://schemas.openxmlformats.org/officeDocument/2006/relationships/hyperlink" Target="mailto:B3G1JeoWN&#8211;h@" TargetMode="External"/><Relationship Id="rId23" Type="http://schemas.openxmlformats.org/officeDocument/2006/relationships/hyperlink" Target="mailto:B3G1JeoWN&#8211;h@" TargetMode="External"/><Relationship Id="rId28" Type="http://schemas.openxmlformats.org/officeDocument/2006/relationships/hyperlink" Target="mailto:B3G1JeoWN&#8211;h@" TargetMode="External"/><Relationship Id="rId10" Type="http://schemas.openxmlformats.org/officeDocument/2006/relationships/hyperlink" Target="mailto:B3G1JeoWN&#8211;h@" TargetMode="External"/><Relationship Id="rId19" Type="http://schemas.openxmlformats.org/officeDocument/2006/relationships/hyperlink" Target="mailto:B3G1JeoWN&#8211;h@" TargetMode="External"/><Relationship Id="rId31" Type="http://schemas.openxmlformats.org/officeDocument/2006/relationships/hyperlink" Target="mailto:B3G1JeoWN&#8211;h@" TargetMode="External"/><Relationship Id="rId4" Type="http://schemas.openxmlformats.org/officeDocument/2006/relationships/hyperlink" Target="mailto:B3G1JeoWN&#8211;h@" TargetMode="External"/><Relationship Id="rId9" Type="http://schemas.openxmlformats.org/officeDocument/2006/relationships/hyperlink" Target="mailto:B3G1JeoWN&#8211;h@" TargetMode="External"/><Relationship Id="rId14" Type="http://schemas.openxmlformats.org/officeDocument/2006/relationships/hyperlink" Target="mailto:B3G1JeoWN&#8211;h@" TargetMode="External"/><Relationship Id="rId22" Type="http://schemas.openxmlformats.org/officeDocument/2006/relationships/hyperlink" Target="mailto:B3G1JeoWN&#8211;h@" TargetMode="External"/><Relationship Id="rId27" Type="http://schemas.openxmlformats.org/officeDocument/2006/relationships/hyperlink" Target="mailto:B3G1JeoWN&#8211;h@" TargetMode="External"/><Relationship Id="rId30" Type="http://schemas.openxmlformats.org/officeDocument/2006/relationships/hyperlink" Target="mailto:gcpickford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3G1JeoWN&#8211;h@" TargetMode="External"/><Relationship Id="rId13" Type="http://schemas.openxmlformats.org/officeDocument/2006/relationships/hyperlink" Target="mailto:B3G1JeoWN&#8211;h@" TargetMode="External"/><Relationship Id="rId18" Type="http://schemas.openxmlformats.org/officeDocument/2006/relationships/hyperlink" Target="mailto:B3G1JeoWN&#8211;h@" TargetMode="External"/><Relationship Id="rId3" Type="http://schemas.openxmlformats.org/officeDocument/2006/relationships/hyperlink" Target="mailto:B3G1JeoWN&#8211;h@" TargetMode="External"/><Relationship Id="rId21" Type="http://schemas.openxmlformats.org/officeDocument/2006/relationships/hyperlink" Target="mailto:B3G1JeoWN&#8211;h@" TargetMode="External"/><Relationship Id="rId7" Type="http://schemas.openxmlformats.org/officeDocument/2006/relationships/hyperlink" Target="mailto:B3G1JeoWN&#8211;h@" TargetMode="External"/><Relationship Id="rId12" Type="http://schemas.openxmlformats.org/officeDocument/2006/relationships/hyperlink" Target="mailto:B3G1JeoWN&#8211;h@" TargetMode="External"/><Relationship Id="rId17" Type="http://schemas.openxmlformats.org/officeDocument/2006/relationships/hyperlink" Target="mailto:B3G1JeoWN&#8211;h@" TargetMode="External"/><Relationship Id="rId2" Type="http://schemas.openxmlformats.org/officeDocument/2006/relationships/hyperlink" Target="mailto:B3G1JeoWN&#8211;h@" TargetMode="External"/><Relationship Id="rId16" Type="http://schemas.openxmlformats.org/officeDocument/2006/relationships/hyperlink" Target="mailto:B3G1JeoWN&#8211;h@" TargetMode="External"/><Relationship Id="rId20" Type="http://schemas.openxmlformats.org/officeDocument/2006/relationships/hyperlink" Target="mailto:B3G1JeoWN&#8211;h@" TargetMode="External"/><Relationship Id="rId1" Type="http://schemas.openxmlformats.org/officeDocument/2006/relationships/hyperlink" Target="mailto:B3G1JeoWN&#8211;h@" TargetMode="External"/><Relationship Id="rId6" Type="http://schemas.openxmlformats.org/officeDocument/2006/relationships/hyperlink" Target="mailto:B3G1JeoWN&#8211;h@" TargetMode="External"/><Relationship Id="rId11" Type="http://schemas.openxmlformats.org/officeDocument/2006/relationships/hyperlink" Target="mailto:B3G1JeoWN&#8211;h@" TargetMode="External"/><Relationship Id="rId5" Type="http://schemas.openxmlformats.org/officeDocument/2006/relationships/hyperlink" Target="mailto:B3G1JeoWN&#8211;h@" TargetMode="External"/><Relationship Id="rId15" Type="http://schemas.openxmlformats.org/officeDocument/2006/relationships/hyperlink" Target="mailto:B3G1JeoWN&#8211;h@" TargetMode="External"/><Relationship Id="rId10" Type="http://schemas.openxmlformats.org/officeDocument/2006/relationships/hyperlink" Target="mailto:B3G1JeoWN&#8211;h@" TargetMode="External"/><Relationship Id="rId19" Type="http://schemas.openxmlformats.org/officeDocument/2006/relationships/hyperlink" Target="mailto:B3G1JeoWN&#8211;h@" TargetMode="External"/><Relationship Id="rId4" Type="http://schemas.openxmlformats.org/officeDocument/2006/relationships/hyperlink" Target="mailto:B3G1JeoWN&#8211;h@" TargetMode="External"/><Relationship Id="rId9" Type="http://schemas.openxmlformats.org/officeDocument/2006/relationships/hyperlink" Target="mailto:B3G1JeoWN&#8211;h@" TargetMode="External"/><Relationship Id="rId14" Type="http://schemas.openxmlformats.org/officeDocument/2006/relationships/hyperlink" Target="mailto:B3G1JeoWN&#8211;h@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B3G1JeoWN&#8211;h@" TargetMode="External"/><Relationship Id="rId2" Type="http://schemas.openxmlformats.org/officeDocument/2006/relationships/hyperlink" Target="mailto:B3G1JeoWN&#8211;h@" TargetMode="External"/><Relationship Id="rId1" Type="http://schemas.openxmlformats.org/officeDocument/2006/relationships/hyperlink" Target="mailto:B3G1JeoWN&#8211;h@" TargetMode="External"/><Relationship Id="rId5" Type="http://schemas.openxmlformats.org/officeDocument/2006/relationships/hyperlink" Target="https://irs.portaldasfinancas.gov.pt/app/consulta/liquidacao?anoExercicio=2022&amp;anoLiquidacao=2023&amp;tipoIR=5&amp;numLiquidacao=6080278" TargetMode="External"/><Relationship Id="rId4" Type="http://schemas.openxmlformats.org/officeDocument/2006/relationships/hyperlink" Target="https://irs.portaldasfinancas.gov.pt/app/consulta/liquidacao?anoExercicio=2022&amp;anoLiquidacao=2023&amp;tipoIR=5&amp;numLiquidacao=49993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ER334"/>
  <sheetViews>
    <sheetView tabSelected="1" zoomScale="67" zoomScaleNormal="70" workbookViewId="0">
      <pane ySplit="1" topLeftCell="A2" activePane="bottomLeft" state="frozen"/>
      <selection pane="bottomLeft" activeCell="K74" sqref="K74"/>
    </sheetView>
  </sheetViews>
  <sheetFormatPr defaultColWidth="16.453125" defaultRowHeight="23" customHeight="1" outlineLevelCol="1" x14ac:dyDescent="0.35"/>
  <cols>
    <col min="1" max="1" width="13.453125" style="161" customWidth="1"/>
    <col min="2" max="2" width="53.6328125" style="56" bestFit="1" customWidth="1"/>
    <col min="3" max="4" width="24.08984375" style="56" customWidth="1"/>
    <col min="5" max="5" width="18.54296875" style="56" customWidth="1"/>
    <col min="6" max="6" width="20.81640625" style="56" customWidth="1"/>
    <col min="7" max="7" width="19.81640625" style="56" customWidth="1"/>
    <col min="8" max="8" width="42.81640625" style="44" customWidth="1" outlineLevel="1"/>
    <col min="9" max="9" width="16.54296875" style="151" customWidth="1" outlineLevel="1"/>
    <col min="10" max="10" width="12.6328125" style="109" customWidth="1" outlineLevel="1"/>
    <col min="11" max="11" width="12.6328125" style="44" customWidth="1"/>
    <col min="12" max="12" width="25.54296875" style="109" customWidth="1"/>
    <col min="13" max="13" width="18.81640625" style="5" customWidth="1"/>
    <col min="14" max="14" width="14.1796875" style="721" customWidth="1"/>
    <col min="15" max="15" width="18.81640625" style="44" customWidth="1"/>
    <col min="16" max="16" width="43.81640625" style="4" customWidth="1" outlineLevel="1"/>
    <col min="17" max="17" width="19.08984375" style="4" customWidth="1" outlineLevel="1"/>
    <col min="18" max="18" width="18.36328125" style="4" customWidth="1" outlineLevel="1"/>
    <col min="19" max="19" width="17.36328125" style="4" customWidth="1" outlineLevel="1"/>
    <col min="20" max="20" width="17.54296875" style="4" customWidth="1" outlineLevel="1"/>
    <col min="21" max="22" width="20.54296875" style="4" customWidth="1" outlineLevel="1"/>
    <col min="23" max="23" width="13.54296875" style="44" customWidth="1" outlineLevel="1"/>
    <col min="24" max="25" width="15.81640625" style="44" customWidth="1" outlineLevel="1"/>
    <col min="26" max="27" width="20.453125" style="44" customWidth="1" outlineLevel="1"/>
    <col min="28" max="28" width="26" style="405" customWidth="1" outlineLevel="1"/>
    <col min="29" max="29" width="39" style="405" customWidth="1" outlineLevel="1"/>
    <col min="30" max="30" width="7.453125" style="151" customWidth="1" outlineLevel="1"/>
    <col min="31" max="31" width="24.54296875" style="97" customWidth="1" outlineLevel="1"/>
    <col min="32" max="32" width="16.54296875" style="151" customWidth="1" outlineLevel="1"/>
    <col min="33" max="33" width="37.453125" style="60" customWidth="1" outlineLevel="1"/>
    <col min="34" max="35" width="16.453125" style="44" customWidth="1"/>
    <col min="36" max="36" width="2.54296875" style="44" customWidth="1"/>
    <col min="37" max="52" width="16.453125" style="44" customWidth="1"/>
    <col min="53" max="55" width="16.453125" customWidth="1"/>
    <col min="56" max="58" width="16.453125" style="44" customWidth="1"/>
    <col min="59" max="59" width="13.1796875" style="44" bestFit="1" customWidth="1"/>
    <col min="60" max="60" width="17.81640625" style="44" customWidth="1"/>
    <col min="61" max="61" width="9" style="44" customWidth="1"/>
    <col min="62" max="62" width="7.81640625" style="44" bestFit="1" customWidth="1"/>
    <col min="63" max="64" width="16.453125" style="96" customWidth="1"/>
    <col min="65" max="65" width="16.453125" style="44" customWidth="1"/>
    <col min="66" max="16384" width="16.453125" style="44"/>
  </cols>
  <sheetData>
    <row r="1" spans="1:64 16348:16372" s="96" customFormat="1" ht="38" customHeight="1" x14ac:dyDescent="0.35">
      <c r="A1" s="570" t="s">
        <v>0</v>
      </c>
      <c r="B1" s="570" t="s">
        <v>1</v>
      </c>
      <c r="C1" s="571" t="s">
        <v>2</v>
      </c>
      <c r="D1" s="571" t="s">
        <v>3</v>
      </c>
      <c r="E1" s="571" t="s">
        <v>4</v>
      </c>
      <c r="F1" s="571" t="s">
        <v>5</v>
      </c>
      <c r="G1" s="571" t="s">
        <v>6</v>
      </c>
      <c r="H1" s="572" t="s">
        <v>7</v>
      </c>
      <c r="I1" s="573" t="s">
        <v>8</v>
      </c>
      <c r="J1" s="573" t="s">
        <v>9</v>
      </c>
      <c r="K1" s="572" t="s">
        <v>10</v>
      </c>
      <c r="L1" s="574" t="s">
        <v>11</v>
      </c>
      <c r="M1" s="575" t="s">
        <v>12</v>
      </c>
      <c r="N1" s="711" t="s">
        <v>13</v>
      </c>
      <c r="O1" s="575" t="s">
        <v>14</v>
      </c>
      <c r="P1" s="576" t="s">
        <v>15</v>
      </c>
      <c r="Q1" s="576" t="s">
        <v>5</v>
      </c>
      <c r="R1" s="576" t="s">
        <v>6</v>
      </c>
      <c r="S1" s="576" t="s">
        <v>16</v>
      </c>
      <c r="T1" s="576" t="s">
        <v>17</v>
      </c>
      <c r="U1" s="576" t="s">
        <v>18</v>
      </c>
      <c r="V1" s="576" t="s">
        <v>19</v>
      </c>
      <c r="W1" s="566" t="s">
        <v>20</v>
      </c>
      <c r="X1" s="565" t="s">
        <v>21</v>
      </c>
      <c r="Y1" s="565" t="s">
        <v>1088</v>
      </c>
      <c r="Z1" s="567" t="s">
        <v>22</v>
      </c>
      <c r="AA1" s="567" t="s">
        <v>1087</v>
      </c>
      <c r="AB1" s="568" t="s">
        <v>23</v>
      </c>
      <c r="AC1" s="568" t="s">
        <v>24</v>
      </c>
      <c r="AD1" s="569" t="s">
        <v>25</v>
      </c>
      <c r="AE1" s="569" t="s">
        <v>26</v>
      </c>
      <c r="AF1" s="569" t="s">
        <v>27</v>
      </c>
      <c r="AG1" s="281" t="s">
        <v>28</v>
      </c>
      <c r="AH1" s="281" t="s">
        <v>29</v>
      </c>
      <c r="AI1" s="569" t="s">
        <v>30</v>
      </c>
      <c r="AJ1" s="176"/>
      <c r="AK1" s="563" t="s">
        <v>31</v>
      </c>
      <c r="AL1" s="563" t="s">
        <v>32</v>
      </c>
      <c r="AM1" s="563" t="s">
        <v>33</v>
      </c>
      <c r="AN1" s="563" t="s">
        <v>34</v>
      </c>
      <c r="AO1" s="563" t="s">
        <v>35</v>
      </c>
      <c r="AP1" s="563" t="s">
        <v>36</v>
      </c>
      <c r="AQ1" s="563" t="s">
        <v>37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246" t="s">
        <v>38</v>
      </c>
      <c r="BH1" s="194" t="s">
        <v>39</v>
      </c>
      <c r="BI1" s="194" t="s">
        <v>40</v>
      </c>
      <c r="BJ1" s="246" t="s">
        <v>41</v>
      </c>
      <c r="BK1" s="3" t="s">
        <v>42</v>
      </c>
      <c r="BL1" s="3" t="s">
        <v>43</v>
      </c>
    </row>
    <row r="2" spans="1:64 16348:16372" ht="23" hidden="1" customHeight="1" x14ac:dyDescent="0.35">
      <c r="A2" s="457">
        <v>1133</v>
      </c>
      <c r="B2" s="480" t="s">
        <v>44</v>
      </c>
      <c r="C2" s="548" t="s">
        <v>45</v>
      </c>
      <c r="D2" s="548"/>
      <c r="E2" s="480"/>
      <c r="F2" s="470" t="s">
        <v>46</v>
      </c>
      <c r="G2" s="470" t="s">
        <v>47</v>
      </c>
      <c r="H2" s="451" t="s">
        <v>48</v>
      </c>
      <c r="I2" s="477"/>
      <c r="J2" s="461" t="s">
        <v>49</v>
      </c>
      <c r="K2" s="452">
        <v>0.05</v>
      </c>
      <c r="L2" s="452"/>
      <c r="M2" s="484"/>
      <c r="N2" s="712"/>
      <c r="O2" s="486"/>
      <c r="P2" s="461"/>
      <c r="Q2" s="461"/>
      <c r="R2" s="461"/>
      <c r="S2" s="461"/>
      <c r="T2" s="461"/>
      <c r="U2" s="461"/>
      <c r="V2" s="461"/>
      <c r="W2" s="461"/>
      <c r="X2" s="463"/>
      <c r="Y2" s="463"/>
      <c r="Z2" s="499"/>
      <c r="AA2" s="499"/>
      <c r="AB2" s="500"/>
      <c r="AC2" s="500"/>
      <c r="AD2" s="492"/>
      <c r="AE2" s="450" t="s">
        <v>50</v>
      </c>
      <c r="AF2" s="450"/>
      <c r="AG2" s="501"/>
      <c r="AH2" s="502"/>
      <c r="AI2" s="42"/>
      <c r="AJ2" s="1"/>
      <c r="AK2" s="1" t="s">
        <v>51</v>
      </c>
      <c r="AL2" s="1"/>
      <c r="AM2" s="1" t="s">
        <v>51</v>
      </c>
      <c r="AN2" s="1"/>
      <c r="AO2" s="1" t="s">
        <v>51</v>
      </c>
      <c r="AP2" s="1"/>
      <c r="AQ2" s="1" t="s">
        <v>51</v>
      </c>
      <c r="AR2" s="1"/>
      <c r="AS2" s="1"/>
      <c r="AT2" s="1"/>
      <c r="AU2" s="1"/>
      <c r="AV2" s="1"/>
      <c r="AW2" s="1"/>
      <c r="AX2" s="1"/>
      <c r="AY2" s="1"/>
      <c r="AZ2" s="1"/>
      <c r="BA2" s="233"/>
      <c r="BB2" s="233"/>
      <c r="BC2" s="233"/>
      <c r="BD2" s="1"/>
      <c r="BE2" s="1"/>
      <c r="BF2" s="1"/>
      <c r="BG2" s="286"/>
      <c r="BH2" s="503">
        <v>500</v>
      </c>
      <c r="BI2" s="503"/>
      <c r="BJ2" s="286"/>
      <c r="BK2" s="3"/>
      <c r="BL2" s="3"/>
    </row>
    <row r="3" spans="1:64 16348:16372" ht="23" hidden="1" customHeight="1" x14ac:dyDescent="0.35">
      <c r="A3" s="457">
        <v>1133</v>
      </c>
      <c r="B3" s="480" t="s">
        <v>52</v>
      </c>
      <c r="C3" s="548" t="s">
        <v>45</v>
      </c>
      <c r="D3" s="548"/>
      <c r="E3" s="480"/>
      <c r="F3" s="470">
        <v>294042539</v>
      </c>
      <c r="G3" s="470" t="s">
        <v>53</v>
      </c>
      <c r="H3" s="451" t="s">
        <v>54</v>
      </c>
      <c r="I3" s="477"/>
      <c r="J3" s="461" t="s">
        <v>49</v>
      </c>
      <c r="K3" s="452">
        <v>0.05</v>
      </c>
      <c r="L3" s="452"/>
      <c r="M3" s="484"/>
      <c r="N3" s="712"/>
      <c r="O3" s="486"/>
      <c r="P3" s="461"/>
      <c r="Q3" s="461"/>
      <c r="R3" s="461"/>
      <c r="S3" s="461"/>
      <c r="T3" s="461"/>
      <c r="U3" s="461"/>
      <c r="V3" s="461"/>
      <c r="W3" s="461"/>
      <c r="X3" s="463"/>
      <c r="Y3" s="463"/>
      <c r="Z3" s="464"/>
      <c r="AA3" s="464"/>
      <c r="AB3" s="498"/>
      <c r="AC3" s="500"/>
      <c r="AD3" s="492"/>
      <c r="AE3" s="450" t="s">
        <v>50</v>
      </c>
      <c r="AF3" s="450"/>
      <c r="AG3" s="501"/>
      <c r="AH3" s="502"/>
      <c r="AI3" s="42"/>
      <c r="AJ3" s="1"/>
      <c r="AK3" s="1" t="s">
        <v>51</v>
      </c>
      <c r="AL3" s="1"/>
      <c r="AM3" s="1"/>
      <c r="AN3" s="1"/>
      <c r="AO3" s="1" t="s">
        <v>51</v>
      </c>
      <c r="AP3" s="1"/>
      <c r="AQ3" s="1" t="s">
        <v>51</v>
      </c>
      <c r="AR3" s="1"/>
      <c r="AS3" s="1"/>
      <c r="AT3" s="1"/>
      <c r="AU3" s="1"/>
      <c r="AV3" s="1"/>
      <c r="AW3" s="1"/>
      <c r="AX3" s="1"/>
      <c r="AY3" s="1"/>
      <c r="AZ3" s="1"/>
      <c r="BA3" s="233"/>
      <c r="BB3" s="233"/>
      <c r="BC3" s="233"/>
      <c r="BD3" s="1"/>
      <c r="BE3" s="1"/>
      <c r="BF3" s="1"/>
      <c r="BG3" s="286"/>
      <c r="BH3" s="503">
        <v>500</v>
      </c>
      <c r="BI3" s="503"/>
      <c r="BJ3" s="286"/>
      <c r="BK3" s="3"/>
      <c r="BL3" s="3"/>
    </row>
    <row r="4" spans="1:64 16348:16372" ht="23" hidden="1" customHeight="1" x14ac:dyDescent="0.35">
      <c r="A4" s="457">
        <v>1141</v>
      </c>
      <c r="B4" s="480" t="s">
        <v>55</v>
      </c>
      <c r="C4" s="710" t="s">
        <v>56</v>
      </c>
      <c r="D4" s="548" t="s">
        <v>57</v>
      </c>
      <c r="E4" s="480"/>
      <c r="F4" s="470">
        <v>295197811</v>
      </c>
      <c r="G4" s="470" t="s">
        <v>58</v>
      </c>
      <c r="H4" s="451" t="s">
        <v>59</v>
      </c>
      <c r="I4" s="477"/>
      <c r="J4" s="461" t="s">
        <v>1089</v>
      </c>
      <c r="K4" s="452">
        <v>0.05</v>
      </c>
      <c r="L4" s="452"/>
      <c r="M4" s="484"/>
      <c r="N4" s="712"/>
      <c r="O4" s="486"/>
      <c r="P4" s="461"/>
      <c r="Q4" s="461"/>
      <c r="R4" s="461"/>
      <c r="S4" s="461"/>
      <c r="T4" s="461"/>
      <c r="U4" s="461"/>
      <c r="V4" s="461"/>
      <c r="W4" s="461"/>
      <c r="X4" s="463"/>
      <c r="Y4" s="463"/>
      <c r="Z4" s="464"/>
      <c r="AA4" s="464"/>
      <c r="AB4" s="465"/>
      <c r="AC4" s="500"/>
      <c r="AD4" s="492"/>
      <c r="AE4" s="450" t="s">
        <v>50</v>
      </c>
      <c r="AF4" s="470"/>
      <c r="AG4" s="504"/>
      <c r="AH4" s="504"/>
      <c r="AI4" s="470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>
        <v>500</v>
      </c>
      <c r="BI4" s="1" t="s">
        <v>61</v>
      </c>
      <c r="BJ4" s="1"/>
      <c r="BK4" s="3"/>
      <c r="BL4" s="3"/>
    </row>
    <row r="5" spans="1:64 16348:16372" ht="23" hidden="1" customHeight="1" x14ac:dyDescent="0.35">
      <c r="A5" s="457">
        <v>1141</v>
      </c>
      <c r="B5" s="480" t="s">
        <v>62</v>
      </c>
      <c r="C5" s="710" t="s">
        <v>56</v>
      </c>
      <c r="D5" s="548" t="s">
        <v>57</v>
      </c>
      <c r="E5" s="480"/>
      <c r="F5" s="470">
        <v>229370900</v>
      </c>
      <c r="G5" s="533" t="s">
        <v>63</v>
      </c>
      <c r="H5" s="451" t="s">
        <v>64</v>
      </c>
      <c r="I5" s="477"/>
      <c r="J5" s="461" t="s">
        <v>1089</v>
      </c>
      <c r="K5" s="452">
        <v>0</v>
      </c>
      <c r="L5" s="452"/>
      <c r="M5" s="484"/>
      <c r="N5" s="712"/>
      <c r="O5" s="486"/>
      <c r="P5" s="461"/>
      <c r="Q5" s="461"/>
      <c r="R5" s="461"/>
      <c r="S5" s="461"/>
      <c r="T5" s="461"/>
      <c r="U5" s="461"/>
      <c r="V5" s="461"/>
      <c r="W5" s="461"/>
      <c r="X5" s="463"/>
      <c r="Y5" s="463"/>
      <c r="Z5" s="464"/>
      <c r="AA5" s="464"/>
      <c r="AB5" s="469"/>
      <c r="AC5" s="469"/>
      <c r="AD5" s="492"/>
      <c r="AE5" s="450" t="s">
        <v>50</v>
      </c>
      <c r="AF5" s="470"/>
      <c r="AG5" s="504"/>
      <c r="AH5" s="504"/>
      <c r="AI5" s="470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>
        <v>200</v>
      </c>
      <c r="BI5" s="1" t="s">
        <v>61</v>
      </c>
      <c r="BJ5" s="1"/>
      <c r="BK5" s="3"/>
      <c r="BL5" s="3"/>
    </row>
    <row r="6" spans="1:64 16348:16372" ht="23" hidden="1" customHeight="1" x14ac:dyDescent="0.35">
      <c r="A6" s="457">
        <v>1156</v>
      </c>
      <c r="B6" s="480" t="s">
        <v>65</v>
      </c>
      <c r="C6" s="547" t="s">
        <v>66</v>
      </c>
      <c r="D6" s="547"/>
      <c r="E6" s="470"/>
      <c r="F6" s="470">
        <v>293090092</v>
      </c>
      <c r="G6" s="451" t="s">
        <v>67</v>
      </c>
      <c r="H6" s="477" t="s">
        <v>68</v>
      </c>
      <c r="I6" s="461"/>
      <c r="J6" s="452" t="s">
        <v>60</v>
      </c>
      <c r="K6" s="452">
        <v>0</v>
      </c>
      <c r="L6" s="505" t="s">
        <v>69</v>
      </c>
      <c r="M6" s="602" t="s">
        <v>70</v>
      </c>
      <c r="N6" s="713"/>
      <c r="O6" s="463"/>
      <c r="P6" s="461" t="s">
        <v>71</v>
      </c>
      <c r="Q6" s="461">
        <v>293611513</v>
      </c>
      <c r="R6" s="461" t="s">
        <v>72</v>
      </c>
      <c r="S6" s="461"/>
      <c r="T6" s="461"/>
      <c r="U6" s="461"/>
      <c r="V6" s="461"/>
      <c r="W6" s="485"/>
      <c r="X6" s="464"/>
      <c r="Y6" s="464"/>
      <c r="Z6" s="469"/>
      <c r="AA6" s="469"/>
      <c r="AB6" s="42"/>
      <c r="AC6" s="42"/>
      <c r="AD6" s="42"/>
      <c r="AE6" s="42" t="s">
        <v>50</v>
      </c>
      <c r="AF6" s="42"/>
      <c r="AG6" s="42"/>
      <c r="AH6" s="42"/>
      <c r="AI6" s="42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 t="s">
        <v>73</v>
      </c>
      <c r="BH6" s="1">
        <v>500</v>
      </c>
      <c r="BI6" s="1">
        <v>550</v>
      </c>
      <c r="BJ6" s="1"/>
      <c r="BK6" s="3" t="s">
        <v>74</v>
      </c>
      <c r="BL6" s="3"/>
      <c r="XDT6" s="328"/>
      <c r="XDU6" s="442"/>
      <c r="XDV6" s="419"/>
      <c r="XDW6" s="420"/>
      <c r="XDX6" s="420"/>
      <c r="XDY6" s="430"/>
      <c r="XDZ6" s="431"/>
      <c r="XEA6" s="432"/>
      <c r="XEB6" s="433"/>
      <c r="XEC6" s="433"/>
      <c r="XED6" s="434"/>
      <c r="XEE6" s="435"/>
      <c r="XEF6" s="432"/>
      <c r="XEG6" s="432"/>
      <c r="XEH6" s="436"/>
      <c r="XEI6" s="436"/>
      <c r="XEJ6" s="436"/>
      <c r="XEK6" s="436"/>
      <c r="XEL6" s="437"/>
      <c r="XEM6" s="437"/>
      <c r="XEN6" s="438"/>
      <c r="XEO6" s="439"/>
      <c r="XEP6" s="440"/>
      <c r="XEQ6" s="443"/>
      <c r="XER6" s="444"/>
    </row>
    <row r="7" spans="1:64 16348:16372" ht="23" hidden="1" customHeight="1" x14ac:dyDescent="0.35">
      <c r="A7" s="457">
        <v>1167</v>
      </c>
      <c r="B7" s="411" t="s">
        <v>75</v>
      </c>
      <c r="C7" s="457" t="s">
        <v>66</v>
      </c>
      <c r="D7" s="626"/>
      <c r="E7" s="411"/>
      <c r="F7" s="411">
        <v>287599876</v>
      </c>
      <c r="G7" s="411" t="s">
        <v>76</v>
      </c>
      <c r="H7" s="451" t="s">
        <v>77</v>
      </c>
      <c r="I7" s="473"/>
      <c r="J7" s="461" t="s">
        <v>60</v>
      </c>
      <c r="K7" s="452">
        <f>[2]Info!$C$14</f>
        <v>1</v>
      </c>
      <c r="L7" s="452" t="s">
        <v>73</v>
      </c>
      <c r="M7" s="459"/>
      <c r="N7" s="472"/>
      <c r="O7" s="462"/>
      <c r="P7" s="461" t="s">
        <v>78</v>
      </c>
      <c r="Q7" s="461">
        <v>194951995</v>
      </c>
      <c r="R7" s="461" t="s">
        <v>79</v>
      </c>
      <c r="S7" s="461"/>
      <c r="T7" s="461"/>
      <c r="U7" s="461"/>
      <c r="V7" s="461"/>
      <c r="W7" s="461"/>
      <c r="X7" s="463"/>
      <c r="Y7" s="463"/>
      <c r="Z7" s="464"/>
      <c r="AA7" s="464"/>
      <c r="AB7" s="465"/>
      <c r="AC7" s="553"/>
      <c r="AD7" s="491"/>
      <c r="AE7" s="450" t="s">
        <v>50</v>
      </c>
      <c r="AF7" s="450"/>
      <c r="AG7" s="480"/>
      <c r="AH7" s="307"/>
      <c r="AI7" s="450"/>
      <c r="AJ7" s="176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233"/>
      <c r="BB7" s="233"/>
      <c r="BC7" s="233"/>
      <c r="BD7" s="1"/>
      <c r="BE7" s="1"/>
      <c r="BF7" s="1"/>
      <c r="BG7" s="194" t="s">
        <v>73</v>
      </c>
      <c r="BH7" s="253">
        <v>400</v>
      </c>
      <c r="BI7" s="194">
        <v>450</v>
      </c>
      <c r="BJ7" s="529"/>
      <c r="BK7" s="3" t="s">
        <v>74</v>
      </c>
      <c r="BL7" s="1"/>
    </row>
    <row r="8" spans="1:64 16348:16372" ht="23" hidden="1" customHeight="1" x14ac:dyDescent="0.35">
      <c r="A8" s="457">
        <v>1176</v>
      </c>
      <c r="B8" s="480" t="s">
        <v>80</v>
      </c>
      <c r="C8" s="480" t="s">
        <v>81</v>
      </c>
      <c r="D8" s="480"/>
      <c r="E8" s="480"/>
      <c r="F8" s="470">
        <v>293341249</v>
      </c>
      <c r="G8" s="470" t="s">
        <v>82</v>
      </c>
      <c r="H8" s="451" t="s">
        <v>83</v>
      </c>
      <c r="I8" s="477"/>
      <c r="J8" s="461" t="s">
        <v>60</v>
      </c>
      <c r="K8" s="600">
        <f>[3]Info!$C$9</f>
        <v>1</v>
      </c>
      <c r="L8" s="452"/>
      <c r="M8" s="506">
        <v>46183</v>
      </c>
      <c r="N8" s="485"/>
      <c r="O8" s="486"/>
      <c r="P8" s="461" t="s">
        <v>84</v>
      </c>
      <c r="Q8" s="461">
        <v>293341478</v>
      </c>
      <c r="R8" s="461" t="s">
        <v>85</v>
      </c>
      <c r="S8" s="461" t="s">
        <v>86</v>
      </c>
      <c r="T8" s="461">
        <v>316563293</v>
      </c>
      <c r="U8" s="461" t="s">
        <v>86</v>
      </c>
      <c r="V8" s="461">
        <v>316563293</v>
      </c>
      <c r="W8" s="461">
        <v>316619116</v>
      </c>
      <c r="X8" s="463"/>
      <c r="Y8" s="463"/>
      <c r="Z8" s="464"/>
      <c r="AA8" s="464"/>
      <c r="AB8" s="469"/>
      <c r="AC8" s="469"/>
      <c r="AD8" s="492"/>
      <c r="AE8" s="450" t="s">
        <v>50</v>
      </c>
      <c r="AF8" s="450"/>
      <c r="AG8" s="501"/>
      <c r="AH8" s="502"/>
      <c r="AI8" s="42"/>
      <c r="AJ8" s="1"/>
      <c r="AK8" s="1"/>
      <c r="AL8" s="1"/>
      <c r="AM8" s="1" t="s">
        <v>51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233"/>
      <c r="BB8" s="233"/>
      <c r="BC8" s="233"/>
      <c r="BD8" s="1"/>
      <c r="BE8" s="1"/>
      <c r="BF8" s="1"/>
      <c r="BG8" s="286"/>
      <c r="BH8" s="503">
        <v>500</v>
      </c>
      <c r="BI8" s="503">
        <v>550</v>
      </c>
      <c r="BJ8" s="286"/>
      <c r="BK8" s="3"/>
      <c r="BL8" s="3"/>
    </row>
    <row r="9" spans="1:64 16348:16372" ht="23" hidden="1" customHeight="1" x14ac:dyDescent="0.35">
      <c r="A9" s="457">
        <v>1191</v>
      </c>
      <c r="B9" s="480" t="s">
        <v>87</v>
      </c>
      <c r="C9" s="548" t="s">
        <v>45</v>
      </c>
      <c r="D9" s="548"/>
      <c r="E9" s="480"/>
      <c r="F9" s="480">
        <v>293407088</v>
      </c>
      <c r="G9" s="480" t="s">
        <v>88</v>
      </c>
      <c r="H9" s="476" t="s">
        <v>89</v>
      </c>
      <c r="I9" s="476"/>
      <c r="J9" s="461" t="s">
        <v>60</v>
      </c>
      <c r="K9" s="732">
        <f>[4]Info!$C$9</f>
        <v>1</v>
      </c>
      <c r="L9" s="476"/>
      <c r="M9" s="459">
        <v>46183</v>
      </c>
      <c r="N9" s="507"/>
      <c r="O9" s="508"/>
      <c r="P9" s="476" t="s">
        <v>90</v>
      </c>
      <c r="Q9" s="476">
        <v>293724130</v>
      </c>
      <c r="R9" s="729" t="s">
        <v>112</v>
      </c>
      <c r="S9" s="476"/>
      <c r="T9" s="476"/>
      <c r="U9" s="476"/>
      <c r="V9" s="476"/>
      <c r="W9" s="476"/>
      <c r="X9" s="463"/>
      <c r="Y9" s="463"/>
      <c r="Z9" s="464"/>
      <c r="AA9" s="464"/>
      <c r="AB9" s="509"/>
      <c r="AC9" s="509"/>
      <c r="AD9" s="510"/>
      <c r="AE9" s="450"/>
      <c r="AF9" s="450"/>
      <c r="AG9" s="480"/>
      <c r="AH9" s="307"/>
      <c r="AI9" s="450"/>
      <c r="AJ9" s="176"/>
      <c r="AK9" s="1"/>
      <c r="AL9" s="1"/>
      <c r="AM9" s="1" t="s">
        <v>51</v>
      </c>
      <c r="AN9" s="1"/>
      <c r="AO9" s="1" t="s">
        <v>51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233"/>
      <c r="BB9" s="233"/>
      <c r="BC9" s="233"/>
      <c r="BD9" s="1"/>
      <c r="BE9" s="1"/>
      <c r="BF9" s="1"/>
      <c r="BG9" s="27"/>
      <c r="BH9" s="253">
        <v>500</v>
      </c>
      <c r="BI9" s="503">
        <v>550</v>
      </c>
      <c r="BJ9" s="27"/>
      <c r="BK9" s="3"/>
      <c r="BL9" s="3"/>
    </row>
    <row r="10" spans="1:64 16348:16372" ht="23" hidden="1" customHeight="1" x14ac:dyDescent="0.35">
      <c r="A10" s="457">
        <v>1199</v>
      </c>
      <c r="B10" s="480" t="s">
        <v>91</v>
      </c>
      <c r="C10" s="547" t="s">
        <v>66</v>
      </c>
      <c r="D10" s="547"/>
      <c r="E10" s="480"/>
      <c r="F10" s="480" t="s">
        <v>92</v>
      </c>
      <c r="G10" s="480" t="s">
        <v>93</v>
      </c>
      <c r="H10" s="476" t="s">
        <v>94</v>
      </c>
      <c r="I10" s="476"/>
      <c r="J10" s="476" t="s">
        <v>49</v>
      </c>
      <c r="K10" s="452">
        <v>0.05</v>
      </c>
      <c r="L10" s="476"/>
      <c r="M10" s="493"/>
      <c r="N10" s="714"/>
      <c r="O10" s="508"/>
      <c r="P10" s="476"/>
      <c r="Q10" s="476"/>
      <c r="R10" s="476"/>
      <c r="S10" s="476"/>
      <c r="T10" s="476"/>
      <c r="U10" s="476"/>
      <c r="V10" s="476"/>
      <c r="W10" s="476"/>
      <c r="X10" s="463"/>
      <c r="Y10" s="463"/>
      <c r="Z10" s="464"/>
      <c r="AA10" s="464"/>
      <c r="AB10" s="509"/>
      <c r="AC10" s="509"/>
      <c r="AD10" s="510"/>
      <c r="AE10" s="450" t="s">
        <v>50</v>
      </c>
      <c r="AF10" s="450"/>
      <c r="AG10" s="480"/>
      <c r="AH10" s="307"/>
      <c r="AI10" s="450"/>
      <c r="AJ10" s="176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233"/>
      <c r="BB10" s="233"/>
      <c r="BC10" s="233"/>
      <c r="BD10" s="1"/>
      <c r="BE10" s="1"/>
      <c r="BF10" s="1"/>
      <c r="BG10" s="27"/>
      <c r="BH10" s="253">
        <v>500</v>
      </c>
      <c r="BI10" s="253">
        <v>550</v>
      </c>
      <c r="BJ10" s="27"/>
      <c r="BK10" s="3"/>
      <c r="BL10" s="3"/>
    </row>
    <row r="11" spans="1:64 16348:16372" ht="23" hidden="1" customHeight="1" x14ac:dyDescent="0.35">
      <c r="A11" s="457">
        <v>1202</v>
      </c>
      <c r="B11" s="411" t="s">
        <v>95</v>
      </c>
      <c r="C11" s="457"/>
      <c r="D11" s="626" t="s">
        <v>96</v>
      </c>
      <c r="E11" s="411"/>
      <c r="F11" s="411">
        <v>292228953</v>
      </c>
      <c r="G11" s="411" t="s">
        <v>97</v>
      </c>
      <c r="H11" s="451" t="s">
        <v>98</v>
      </c>
      <c r="I11" s="473"/>
      <c r="J11" s="461" t="s">
        <v>60</v>
      </c>
      <c r="K11" s="452">
        <f>[5]Info!$C$14</f>
        <v>1</v>
      </c>
      <c r="L11" s="452"/>
      <c r="M11" s="459">
        <v>46163</v>
      </c>
      <c r="N11" s="472"/>
      <c r="O11" s="462"/>
      <c r="P11" s="461"/>
      <c r="Q11" s="461"/>
      <c r="R11" s="461"/>
      <c r="S11" s="461"/>
      <c r="T11" s="461"/>
      <c r="U11" s="461"/>
      <c r="V11" s="461"/>
      <c r="W11" s="461"/>
      <c r="X11" s="463"/>
      <c r="Y11" s="463"/>
      <c r="Z11" s="464"/>
      <c r="AA11" s="464"/>
      <c r="AB11" s="465"/>
      <c r="AC11" s="553"/>
      <c r="AD11" s="491"/>
      <c r="AE11" s="450" t="s">
        <v>50</v>
      </c>
      <c r="AF11" s="450"/>
      <c r="AG11" s="480"/>
      <c r="AH11" s="307"/>
      <c r="AI11" s="450"/>
      <c r="AJ11" s="176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233"/>
      <c r="BB11" s="233"/>
      <c r="BC11" s="233"/>
      <c r="BD11" s="1"/>
      <c r="BE11" s="1"/>
      <c r="BF11" s="1"/>
      <c r="BG11" s="194" t="s">
        <v>73</v>
      </c>
      <c r="BH11" s="253">
        <v>150</v>
      </c>
      <c r="BI11" s="194">
        <v>150</v>
      </c>
      <c r="BJ11" s="529" t="s">
        <v>73</v>
      </c>
      <c r="BK11" s="3" t="s">
        <v>99</v>
      </c>
      <c r="BL11" s="1" t="s">
        <v>100</v>
      </c>
    </row>
    <row r="12" spans="1:64 16348:16372" ht="23" hidden="1" customHeight="1" x14ac:dyDescent="0.35">
      <c r="A12" s="457">
        <v>1211</v>
      </c>
      <c r="B12" s="480" t="s">
        <v>101</v>
      </c>
      <c r="C12" s="548" t="s">
        <v>45</v>
      </c>
      <c r="D12" s="548"/>
      <c r="E12" s="480"/>
      <c r="F12" s="470">
        <v>295684569</v>
      </c>
      <c r="G12" s="470" t="s">
        <v>102</v>
      </c>
      <c r="H12" s="451" t="s">
        <v>103</v>
      </c>
      <c r="I12" s="477"/>
      <c r="J12" s="461" t="s">
        <v>49</v>
      </c>
      <c r="K12" s="452">
        <v>0.3</v>
      </c>
      <c r="L12" s="452"/>
      <c r="M12" s="484"/>
      <c r="N12" s="485"/>
      <c r="O12" s="486"/>
      <c r="P12" s="461"/>
      <c r="Q12" s="461"/>
      <c r="R12" s="461"/>
      <c r="S12" s="461"/>
      <c r="T12" s="461"/>
      <c r="U12" s="461"/>
      <c r="V12" s="461"/>
      <c r="W12" s="461"/>
      <c r="X12" s="463"/>
      <c r="Y12" s="463"/>
      <c r="Z12" s="482"/>
      <c r="AA12" s="482"/>
      <c r="AB12" s="465"/>
      <c r="AC12" s="500"/>
      <c r="AD12" s="492"/>
      <c r="AE12" s="450" t="s">
        <v>50</v>
      </c>
      <c r="AF12" s="450"/>
      <c r="AG12" s="501"/>
      <c r="AH12" s="502"/>
      <c r="AI12" s="42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233"/>
      <c r="BB12" s="233"/>
      <c r="BC12" s="233"/>
      <c r="BD12" s="1"/>
      <c r="BE12" s="1"/>
      <c r="BF12" s="1"/>
      <c r="BG12" s="286" t="s">
        <v>73</v>
      </c>
      <c r="BH12" s="503">
        <v>500</v>
      </c>
      <c r="BI12" s="503">
        <v>600</v>
      </c>
      <c r="BJ12" s="286" t="s">
        <v>73</v>
      </c>
      <c r="BK12" s="3" t="s">
        <v>104</v>
      </c>
      <c r="BL12" s="3" t="s">
        <v>100</v>
      </c>
    </row>
    <row r="13" spans="1:64 16348:16372" ht="23" hidden="1" customHeight="1" x14ac:dyDescent="0.35">
      <c r="A13" s="457">
        <v>1213</v>
      </c>
      <c r="B13" s="480" t="s">
        <v>105</v>
      </c>
      <c r="C13" s="501" t="s">
        <v>106</v>
      </c>
      <c r="D13" s="548" t="s">
        <v>57</v>
      </c>
      <c r="E13" s="480"/>
      <c r="F13" s="480" t="s">
        <v>107</v>
      </c>
      <c r="G13" s="480" t="s">
        <v>108</v>
      </c>
      <c r="H13" s="476" t="s">
        <v>109</v>
      </c>
      <c r="I13" s="476"/>
      <c r="J13" s="445" t="s">
        <v>49</v>
      </c>
      <c r="K13" s="452">
        <v>0</v>
      </c>
      <c r="L13" s="476"/>
      <c r="M13" s="483"/>
      <c r="N13" s="714"/>
      <c r="O13" s="508"/>
      <c r="P13" s="476"/>
      <c r="Q13" s="476"/>
      <c r="R13" s="476"/>
      <c r="S13" s="476"/>
      <c r="T13" s="476"/>
      <c r="U13" s="476"/>
      <c r="V13" s="476"/>
      <c r="W13" s="476"/>
      <c r="X13" s="463"/>
      <c r="Y13" s="463"/>
      <c r="Z13" s="464"/>
      <c r="AA13" s="464"/>
      <c r="AB13" s="465"/>
      <c r="AC13" s="553"/>
      <c r="AD13" s="510"/>
      <c r="AE13" s="450" t="s">
        <v>50</v>
      </c>
      <c r="AF13" s="301"/>
      <c r="AG13" s="474"/>
      <c r="AH13" s="474"/>
      <c r="AI13" s="30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>
        <v>300</v>
      </c>
      <c r="BI13" s="1">
        <v>400</v>
      </c>
      <c r="BJ13" s="1"/>
      <c r="BK13" s="3"/>
      <c r="BL13" s="3"/>
    </row>
    <row r="14" spans="1:64 16348:16372" ht="23" hidden="1" customHeight="1" x14ac:dyDescent="0.35">
      <c r="A14" s="457">
        <v>1213</v>
      </c>
      <c r="B14" s="480" t="s">
        <v>110</v>
      </c>
      <c r="C14" s="501" t="s">
        <v>106</v>
      </c>
      <c r="D14" s="548" t="s">
        <v>57</v>
      </c>
      <c r="E14" s="480"/>
      <c r="F14" s="480" t="s">
        <v>111</v>
      </c>
      <c r="G14" s="480" t="s">
        <v>112</v>
      </c>
      <c r="H14" s="476" t="s">
        <v>113</v>
      </c>
      <c r="I14" s="476"/>
      <c r="J14" s="476" t="s">
        <v>49</v>
      </c>
      <c r="K14" s="452">
        <v>0</v>
      </c>
      <c r="L14" s="476"/>
      <c r="M14" s="493"/>
      <c r="N14" s="714"/>
      <c r="O14" s="508"/>
      <c r="P14" s="476"/>
      <c r="Q14" s="476"/>
      <c r="R14" s="476"/>
      <c r="S14" s="476"/>
      <c r="T14" s="476"/>
      <c r="U14" s="476"/>
      <c r="V14" s="476"/>
      <c r="W14" s="476"/>
      <c r="X14" s="463"/>
      <c r="Y14" s="463"/>
      <c r="Z14" s="464"/>
      <c r="AA14" s="464"/>
      <c r="AB14" s="465"/>
      <c r="AC14" s="553"/>
      <c r="AD14" s="510"/>
      <c r="AE14" s="450" t="s">
        <v>50</v>
      </c>
      <c r="AF14" s="301"/>
      <c r="AG14" s="474"/>
      <c r="AH14" s="474"/>
      <c r="AI14" s="30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3"/>
      <c r="BL14" s="3"/>
    </row>
    <row r="15" spans="1:64 16348:16372" ht="23" hidden="1" customHeight="1" x14ac:dyDescent="0.35">
      <c r="A15" s="457">
        <v>1218</v>
      </c>
      <c r="B15" s="480" t="s">
        <v>114</v>
      </c>
      <c r="C15" s="480" t="s">
        <v>56</v>
      </c>
      <c r="D15" s="548" t="s">
        <v>57</v>
      </c>
      <c r="E15" s="480"/>
      <c r="F15" s="480">
        <v>292467842</v>
      </c>
      <c r="G15" s="480" t="s">
        <v>115</v>
      </c>
      <c r="H15" s="476" t="s">
        <v>116</v>
      </c>
      <c r="I15" s="476"/>
      <c r="J15" s="445" t="s">
        <v>60</v>
      </c>
      <c r="K15" s="577">
        <f>[6]Info!$C$14</f>
        <v>1</v>
      </c>
      <c r="L15" s="476" t="s">
        <v>73</v>
      </c>
      <c r="M15" s="459">
        <v>46183</v>
      </c>
      <c r="N15" s="507"/>
      <c r="O15" s="508"/>
      <c r="P15" s="476"/>
      <c r="Q15" s="476"/>
      <c r="R15" s="476"/>
      <c r="S15" s="476"/>
      <c r="T15" s="476"/>
      <c r="U15" s="476"/>
      <c r="V15" s="476"/>
      <c r="W15" s="476"/>
      <c r="X15" s="463"/>
      <c r="Y15" s="463"/>
      <c r="Z15" s="464"/>
      <c r="AA15" s="464"/>
      <c r="AB15" s="465"/>
      <c r="AC15" s="553"/>
      <c r="AD15" s="510"/>
      <c r="AE15" s="450" t="s">
        <v>50</v>
      </c>
      <c r="AF15" s="301"/>
      <c r="AG15" s="474"/>
      <c r="AH15" s="474"/>
      <c r="AI15" s="30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>
        <v>0</v>
      </c>
      <c r="BI15" s="1">
        <v>550</v>
      </c>
      <c r="BJ15" s="1"/>
      <c r="BK15" s="3"/>
      <c r="BL15" s="3"/>
    </row>
    <row r="16" spans="1:64 16348:16372" ht="23" hidden="1" customHeight="1" x14ac:dyDescent="0.35">
      <c r="A16" s="457">
        <v>1239</v>
      </c>
      <c r="B16" s="480" t="s">
        <v>117</v>
      </c>
      <c r="C16" s="501" t="s">
        <v>118</v>
      </c>
      <c r="D16" s="548" t="s">
        <v>57</v>
      </c>
      <c r="E16" s="480"/>
      <c r="F16" s="470">
        <v>295873590</v>
      </c>
      <c r="G16" s="470" t="s">
        <v>119</v>
      </c>
      <c r="H16" s="451" t="s">
        <v>120</v>
      </c>
      <c r="I16" s="477"/>
      <c r="J16" s="461" t="s">
        <v>121</v>
      </c>
      <c r="K16" s="452">
        <v>0.7</v>
      </c>
      <c r="L16" s="452"/>
      <c r="M16" s="484"/>
      <c r="N16" s="485"/>
      <c r="O16" s="486"/>
      <c r="P16" s="461" t="s">
        <v>122</v>
      </c>
      <c r="Q16" s="461" t="s">
        <v>123</v>
      </c>
      <c r="R16" s="461" t="s">
        <v>124</v>
      </c>
      <c r="S16" s="461"/>
      <c r="T16" s="461"/>
      <c r="U16" s="461"/>
      <c r="V16" s="461"/>
      <c r="W16" s="461"/>
      <c r="X16" s="463"/>
      <c r="Y16" s="463"/>
      <c r="Z16" s="464"/>
      <c r="AA16" s="464"/>
      <c r="AB16" s="509"/>
      <c r="AC16" s="500"/>
      <c r="AD16" s="492"/>
      <c r="AE16" s="450" t="s">
        <v>50</v>
      </c>
      <c r="AF16" s="450"/>
      <c r="AG16" s="501"/>
      <c r="AH16" s="502"/>
      <c r="AI16" s="42"/>
      <c r="AJ16" s="1"/>
      <c r="AK16" s="1"/>
      <c r="AL16" s="1"/>
      <c r="AM16" s="1"/>
      <c r="AN16" s="1"/>
      <c r="AO16" s="1" t="s">
        <v>51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233"/>
      <c r="BB16" s="233"/>
      <c r="BC16" s="233"/>
      <c r="BD16" s="1"/>
      <c r="BE16" s="1"/>
      <c r="BF16" s="1"/>
      <c r="BG16" s="286"/>
      <c r="BH16" s="503">
        <v>500</v>
      </c>
      <c r="BI16" s="503">
        <v>550</v>
      </c>
      <c r="BJ16" s="286"/>
      <c r="BK16" s="3"/>
      <c r="BL16" s="3"/>
    </row>
    <row r="17" spans="1:127" ht="23" customHeight="1" x14ac:dyDescent="0.35">
      <c r="A17" s="457">
        <v>1239</v>
      </c>
      <c r="B17" s="480" t="s">
        <v>125</v>
      </c>
      <c r="C17" s="731" t="s">
        <v>118</v>
      </c>
      <c r="D17" s="730" t="s">
        <v>57</v>
      </c>
      <c r="E17" s="480"/>
      <c r="F17" s="470" t="s">
        <v>123</v>
      </c>
      <c r="G17" s="470" t="s">
        <v>124</v>
      </c>
      <c r="H17" s="451" t="s">
        <v>126</v>
      </c>
      <c r="I17" s="477"/>
      <c r="J17" s="461" t="s">
        <v>60</v>
      </c>
      <c r="K17" s="577">
        <v>0.99</v>
      </c>
      <c r="L17" s="452"/>
      <c r="M17" s="484"/>
      <c r="N17" s="485"/>
      <c r="O17" s="486"/>
      <c r="P17" s="461"/>
      <c r="Q17" s="461"/>
      <c r="R17" s="461"/>
      <c r="S17" s="461"/>
      <c r="T17" s="461"/>
      <c r="U17" s="461"/>
      <c r="V17" s="461"/>
      <c r="W17" s="461"/>
      <c r="X17" s="463"/>
      <c r="Y17" s="463"/>
      <c r="Z17" s="464"/>
      <c r="AA17" s="464"/>
      <c r="AB17" s="465"/>
      <c r="AC17" s="465"/>
      <c r="AD17" s="492"/>
      <c r="AE17" s="450" t="s">
        <v>50</v>
      </c>
      <c r="AF17" s="450"/>
      <c r="AG17" s="501"/>
      <c r="AH17" s="502"/>
      <c r="AI17" s="42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233"/>
      <c r="BB17" s="233"/>
      <c r="BC17" s="233"/>
      <c r="BD17" s="1"/>
      <c r="BE17" s="1"/>
      <c r="BF17" s="1"/>
      <c r="BG17" s="286"/>
      <c r="BH17" s="503">
        <v>100</v>
      </c>
      <c r="BI17" s="503">
        <v>100</v>
      </c>
      <c r="BJ17" s="286"/>
      <c r="BK17" s="3"/>
      <c r="BL17" s="3"/>
    </row>
    <row r="18" spans="1:127" ht="23" hidden="1" customHeight="1" x14ac:dyDescent="0.35">
      <c r="A18" s="457">
        <v>1246</v>
      </c>
      <c r="B18" s="42" t="s">
        <v>127</v>
      </c>
      <c r="C18" s="710" t="s">
        <v>56</v>
      </c>
      <c r="D18" s="548" t="s">
        <v>57</v>
      </c>
      <c r="E18" s="411"/>
      <c r="F18" s="470" t="s">
        <v>128</v>
      </c>
      <c r="G18" s="470" t="s">
        <v>129</v>
      </c>
      <c r="H18" s="451" t="s">
        <v>130</v>
      </c>
      <c r="I18" s="462"/>
      <c r="J18" s="461" t="s">
        <v>49</v>
      </c>
      <c r="K18" s="452">
        <v>0</v>
      </c>
      <c r="L18" s="475"/>
      <c r="M18" s="459"/>
      <c r="N18" s="476" t="s">
        <v>51</v>
      </c>
      <c r="O18" s="477"/>
      <c r="P18" s="461"/>
      <c r="Q18" s="461"/>
      <c r="R18" s="461"/>
      <c r="S18" s="461"/>
      <c r="T18" s="461"/>
      <c r="U18" s="461"/>
      <c r="V18" s="461"/>
      <c r="W18" s="461"/>
      <c r="X18" s="472"/>
      <c r="Y18" s="472"/>
      <c r="Z18" s="511"/>
      <c r="AA18" s="511"/>
      <c r="AB18" s="469"/>
      <c r="AC18" s="469"/>
      <c r="AD18" s="512"/>
      <c r="AE18" s="450" t="s">
        <v>50</v>
      </c>
      <c r="AF18" s="450"/>
      <c r="AG18" s="449"/>
      <c r="AH18" s="307"/>
      <c r="AI18" s="42"/>
      <c r="AJ18" s="1"/>
      <c r="AK18" s="1"/>
      <c r="AL18" s="1"/>
      <c r="AM18" s="1"/>
      <c r="AN18" s="1"/>
      <c r="AO18" s="1" t="s">
        <v>51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233"/>
      <c r="BB18" s="233"/>
      <c r="BC18" s="233"/>
      <c r="BD18" s="1"/>
      <c r="BE18" s="1"/>
      <c r="BF18" s="1"/>
      <c r="BG18" s="259"/>
      <c r="BH18" s="33">
        <v>400</v>
      </c>
      <c r="BI18" s="33">
        <v>450</v>
      </c>
      <c r="BJ18" s="259"/>
      <c r="BK18" s="3"/>
      <c r="BL18" s="3"/>
    </row>
    <row r="19" spans="1:127" ht="23" hidden="1" customHeight="1" x14ac:dyDescent="0.35">
      <c r="A19" s="457">
        <v>1244</v>
      </c>
      <c r="B19" s="551" t="s">
        <v>131</v>
      </c>
      <c r="C19" s="546" t="s">
        <v>132</v>
      </c>
      <c r="D19" s="550"/>
      <c r="E19" s="411"/>
      <c r="F19" s="411" t="s">
        <v>133</v>
      </c>
      <c r="G19" s="411" t="s">
        <v>134</v>
      </c>
      <c r="H19" s="451" t="s">
        <v>135</v>
      </c>
      <c r="I19" s="513"/>
      <c r="J19" s="461" t="s">
        <v>49</v>
      </c>
      <c r="K19" s="452">
        <v>0</v>
      </c>
      <c r="L19" s="452"/>
      <c r="M19" s="483"/>
      <c r="N19" s="715"/>
      <c r="O19" s="462"/>
      <c r="P19" s="461"/>
      <c r="Q19" s="461"/>
      <c r="R19" s="461"/>
      <c r="S19" s="461"/>
      <c r="T19" s="461"/>
      <c r="U19" s="461"/>
      <c r="V19" s="461"/>
      <c r="W19" s="461"/>
      <c r="X19" s="463"/>
      <c r="Y19" s="463"/>
      <c r="Z19" s="464"/>
      <c r="AA19" s="464"/>
      <c r="AB19" s="465"/>
      <c r="AC19" s="500"/>
      <c r="AD19" s="450"/>
      <c r="AE19" s="450" t="s">
        <v>50</v>
      </c>
      <c r="AF19" s="450"/>
      <c r="AG19" s="480"/>
      <c r="AH19" s="307"/>
      <c r="AI19" s="42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233"/>
      <c r="BB19" s="233"/>
      <c r="BC19" s="233"/>
      <c r="BD19" s="1"/>
      <c r="BE19" s="1"/>
      <c r="BF19" s="1"/>
      <c r="BG19" s="27"/>
      <c r="BH19" s="33">
        <v>500</v>
      </c>
      <c r="BI19" s="33" t="s">
        <v>61</v>
      </c>
      <c r="BJ19" s="27"/>
      <c r="BK19" s="3"/>
      <c r="BL19" s="3"/>
    </row>
    <row r="20" spans="1:127" ht="23" hidden="1" customHeight="1" x14ac:dyDescent="0.35">
      <c r="A20" s="457">
        <v>1251</v>
      </c>
      <c r="B20" s="514" t="s">
        <v>136</v>
      </c>
      <c r="C20" s="546" t="s">
        <v>132</v>
      </c>
      <c r="D20" s="546"/>
      <c r="E20" s="514"/>
      <c r="F20" s="470">
        <v>302330682</v>
      </c>
      <c r="G20" s="470" t="s">
        <v>137</v>
      </c>
      <c r="H20" s="451" t="s">
        <v>138</v>
      </c>
      <c r="I20" s="462"/>
      <c r="J20" s="461" t="s">
        <v>60</v>
      </c>
      <c r="K20" s="577">
        <v>0.9</v>
      </c>
      <c r="L20" s="452"/>
      <c r="M20" s="459"/>
      <c r="N20" s="461"/>
      <c r="O20" s="461"/>
      <c r="P20" s="461"/>
      <c r="Q20" s="461"/>
      <c r="R20" s="461"/>
      <c r="S20" s="461"/>
      <c r="T20" s="461"/>
      <c r="U20" s="461"/>
      <c r="V20" s="461"/>
      <c r="W20" s="461"/>
      <c r="X20" s="463"/>
      <c r="Y20" s="463"/>
      <c r="Z20" s="464"/>
      <c r="AA20" s="464"/>
      <c r="AB20" s="465"/>
      <c r="AC20" s="500"/>
      <c r="AD20" s="491"/>
      <c r="AE20" s="450" t="s">
        <v>50</v>
      </c>
      <c r="AF20" s="450"/>
      <c r="AG20" s="42"/>
      <c r="AH20" s="42"/>
      <c r="AI20" s="4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233"/>
      <c r="BB20" s="233"/>
      <c r="BC20" s="233"/>
      <c r="BD20" s="1"/>
      <c r="BE20" s="1"/>
      <c r="BF20" s="1"/>
      <c r="BG20" s="515" t="s">
        <v>73</v>
      </c>
      <c r="BH20" s="403">
        <v>600</v>
      </c>
      <c r="BI20" s="403">
        <v>600</v>
      </c>
      <c r="BJ20" s="27" t="s">
        <v>73</v>
      </c>
      <c r="BK20" s="3" t="s">
        <v>99</v>
      </c>
      <c r="BL20" s="3" t="s">
        <v>100</v>
      </c>
    </row>
    <row r="21" spans="1:127" ht="23" hidden="1" customHeight="1" x14ac:dyDescent="0.35">
      <c r="A21" s="457">
        <v>1259</v>
      </c>
      <c r="B21" s="552" t="s">
        <v>139</v>
      </c>
      <c r="C21" s="546" t="s">
        <v>132</v>
      </c>
      <c r="D21" s="546"/>
      <c r="E21" s="514"/>
      <c r="F21" s="470" t="s">
        <v>140</v>
      </c>
      <c r="G21" s="470" t="s">
        <v>141</v>
      </c>
      <c r="H21" s="451" t="s">
        <v>142</v>
      </c>
      <c r="I21" s="462"/>
      <c r="J21" s="461" t="s">
        <v>49</v>
      </c>
      <c r="K21" s="452">
        <v>0.05</v>
      </c>
      <c r="L21" s="452"/>
      <c r="M21" s="459"/>
      <c r="N21" s="478"/>
      <c r="O21" s="461"/>
      <c r="P21" s="461"/>
      <c r="Q21" s="461"/>
      <c r="R21" s="461"/>
      <c r="S21" s="461"/>
      <c r="T21" s="461"/>
      <c r="U21" s="461"/>
      <c r="V21" s="461"/>
      <c r="W21" s="461" t="s">
        <v>51</v>
      </c>
      <c r="X21" s="463"/>
      <c r="Y21" s="463"/>
      <c r="Z21" s="464"/>
      <c r="AA21" s="464"/>
      <c r="AB21" s="465"/>
      <c r="AC21" s="500"/>
      <c r="AD21" s="491"/>
      <c r="AE21" s="450" t="s">
        <v>50</v>
      </c>
      <c r="AF21" s="450"/>
      <c r="AG21" s="42"/>
      <c r="AH21" s="42"/>
      <c r="AI21" s="42"/>
      <c r="AJ21" s="1"/>
      <c r="AK21" s="1"/>
      <c r="AL21" s="1"/>
      <c r="AM21" s="1"/>
      <c r="AN21" s="1"/>
      <c r="AO21" s="1" t="s">
        <v>51</v>
      </c>
      <c r="AP21" s="1"/>
      <c r="AQ21" s="1" t="s">
        <v>51</v>
      </c>
      <c r="AR21" s="1"/>
      <c r="AS21" s="1"/>
      <c r="AT21" s="1"/>
      <c r="AU21" s="1"/>
      <c r="AV21" s="1"/>
      <c r="AW21" s="1"/>
      <c r="AX21" s="1"/>
      <c r="AY21" s="1"/>
      <c r="AZ21" s="1"/>
      <c r="BA21" s="233"/>
      <c r="BB21" s="233"/>
      <c r="BC21" s="233"/>
      <c r="BD21" s="1"/>
      <c r="BE21" s="1"/>
      <c r="BF21" s="1"/>
      <c r="BG21" s="515"/>
      <c r="BH21" s="403">
        <v>800</v>
      </c>
      <c r="BI21" s="403" t="s">
        <v>61</v>
      </c>
      <c r="BJ21" s="27"/>
      <c r="BK21" s="3"/>
      <c r="BL21" s="3"/>
    </row>
    <row r="22" spans="1:127" ht="23" hidden="1" customHeight="1" x14ac:dyDescent="0.35">
      <c r="A22" s="457">
        <v>1261</v>
      </c>
      <c r="B22" s="411" t="s">
        <v>143</v>
      </c>
      <c r="C22" s="501" t="s">
        <v>144</v>
      </c>
      <c r="D22" s="548" t="s">
        <v>57</v>
      </c>
      <c r="E22" s="411"/>
      <c r="F22" s="470" t="s">
        <v>145</v>
      </c>
      <c r="G22" s="470" t="s">
        <v>146</v>
      </c>
      <c r="H22" s="451" t="s">
        <v>147</v>
      </c>
      <c r="I22" s="462"/>
      <c r="J22" s="461"/>
      <c r="K22" s="452">
        <v>0</v>
      </c>
      <c r="L22" s="475"/>
      <c r="M22" s="459"/>
      <c r="N22" s="476" t="s">
        <v>51</v>
      </c>
      <c r="O22" s="477">
        <v>45829</v>
      </c>
      <c r="P22" s="461"/>
      <c r="Q22" s="461"/>
      <c r="R22" s="461"/>
      <c r="S22" s="461"/>
      <c r="T22" s="461"/>
      <c r="U22" s="461"/>
      <c r="V22" s="461"/>
      <c r="W22" s="461"/>
      <c r="X22" s="472"/>
      <c r="Y22" s="472"/>
      <c r="Z22" s="511"/>
      <c r="AA22" s="511"/>
      <c r="AB22" s="469"/>
      <c r="AC22" s="469"/>
      <c r="AD22" s="512"/>
      <c r="AE22" s="450" t="s">
        <v>50</v>
      </c>
      <c r="AF22" s="450"/>
      <c r="AG22" s="449"/>
      <c r="AH22" s="307"/>
      <c r="AI22" s="4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233"/>
      <c r="BB22" s="233"/>
      <c r="BC22" s="233"/>
      <c r="BD22" s="1"/>
      <c r="BE22" s="1"/>
      <c r="BF22" s="1"/>
      <c r="BG22" s="259"/>
      <c r="BH22" s="33">
        <v>400</v>
      </c>
      <c r="BI22" s="33">
        <v>450</v>
      </c>
      <c r="BJ22" s="259"/>
      <c r="BK22" s="3"/>
      <c r="BL22" s="3"/>
    </row>
    <row r="23" spans="1:127" ht="23" hidden="1" customHeight="1" x14ac:dyDescent="0.35">
      <c r="A23" s="457">
        <v>1281</v>
      </c>
      <c r="B23" s="480" t="s">
        <v>148</v>
      </c>
      <c r="C23" s="546" t="s">
        <v>132</v>
      </c>
      <c r="D23" s="546"/>
      <c r="E23" s="480"/>
      <c r="F23" s="470" t="s">
        <v>149</v>
      </c>
      <c r="G23" s="470" t="s">
        <v>150</v>
      </c>
      <c r="H23" s="451" t="s">
        <v>151</v>
      </c>
      <c r="I23" s="477"/>
      <c r="J23" s="461" t="s">
        <v>60</v>
      </c>
      <c r="K23" s="577">
        <f>[7]Info!$C$8</f>
        <v>1</v>
      </c>
      <c r="L23" s="452"/>
      <c r="M23" s="459">
        <v>46183</v>
      </c>
      <c r="N23" s="485"/>
      <c r="O23" s="486"/>
      <c r="P23" s="461">
        <v>304411612</v>
      </c>
      <c r="Q23" s="461" t="s">
        <v>112</v>
      </c>
      <c r="R23" s="461"/>
      <c r="S23" s="461"/>
      <c r="T23" s="461"/>
      <c r="U23" s="461"/>
      <c r="V23" s="461"/>
      <c r="W23" s="461" t="s">
        <v>51</v>
      </c>
      <c r="X23" s="463"/>
      <c r="Y23" s="463"/>
      <c r="Z23" s="464"/>
      <c r="AA23" s="464"/>
      <c r="AB23" s="465"/>
      <c r="AC23" s="500"/>
      <c r="AD23" s="492"/>
      <c r="AE23" s="450" t="s">
        <v>50</v>
      </c>
      <c r="AF23" s="450"/>
      <c r="AG23" s="501"/>
      <c r="AH23" s="502"/>
      <c r="AI23" s="42"/>
      <c r="AJ23" s="1"/>
      <c r="AK23" s="1"/>
      <c r="AL23" s="1"/>
      <c r="AM23" s="1"/>
      <c r="AN23" s="1"/>
      <c r="AO23" s="1" t="s">
        <v>51</v>
      </c>
      <c r="AP23" s="1"/>
      <c r="AQ23" s="1" t="s">
        <v>51</v>
      </c>
      <c r="AR23" s="1"/>
      <c r="AS23" s="1"/>
      <c r="AT23" s="1"/>
      <c r="AU23" s="1"/>
      <c r="AV23" s="1"/>
      <c r="AW23" s="1"/>
      <c r="AX23" s="1"/>
      <c r="AY23" s="1"/>
      <c r="AZ23" s="1"/>
      <c r="BA23" s="233"/>
      <c r="BB23" s="233"/>
      <c r="BC23" s="233"/>
      <c r="BD23" s="1"/>
      <c r="BE23" s="1"/>
      <c r="BF23" s="1"/>
      <c r="BG23" s="286" t="s">
        <v>73</v>
      </c>
      <c r="BH23" s="503">
        <v>500</v>
      </c>
      <c r="BI23" s="503">
        <v>600</v>
      </c>
      <c r="BJ23" s="286" t="s">
        <v>73</v>
      </c>
      <c r="BK23" s="3" t="s">
        <v>74</v>
      </c>
      <c r="BL23" s="3"/>
    </row>
    <row r="24" spans="1:127" ht="23" hidden="1" customHeight="1" x14ac:dyDescent="0.35">
      <c r="A24" s="457">
        <v>1287</v>
      </c>
      <c r="B24" s="411" t="s">
        <v>152</v>
      </c>
      <c r="C24" s="546" t="s">
        <v>132</v>
      </c>
      <c r="D24" s="546"/>
      <c r="E24" s="411"/>
      <c r="F24" s="470" t="s">
        <v>153</v>
      </c>
      <c r="G24" s="470" t="s">
        <v>154</v>
      </c>
      <c r="H24" s="451" t="s">
        <v>155</v>
      </c>
      <c r="I24" s="477"/>
      <c r="J24" s="461" t="s">
        <v>60</v>
      </c>
      <c r="K24" s="577">
        <v>0.2</v>
      </c>
      <c r="L24" s="625"/>
      <c r="M24" s="459"/>
      <c r="N24" s="472"/>
      <c r="O24" s="462"/>
      <c r="P24" s="445"/>
      <c r="Q24" s="472"/>
      <c r="R24" s="461"/>
      <c r="S24" s="461"/>
      <c r="T24" s="461"/>
      <c r="U24" s="461"/>
      <c r="V24" s="461"/>
      <c r="W24" s="461"/>
      <c r="X24" s="463"/>
      <c r="Y24" s="463"/>
      <c r="Z24" s="516"/>
      <c r="AA24" s="516"/>
      <c r="AB24" s="465"/>
      <c r="AC24" s="465"/>
      <c r="AD24" s="491"/>
      <c r="AE24" s="450" t="s">
        <v>50</v>
      </c>
      <c r="AF24" s="450"/>
      <c r="AG24" s="517"/>
      <c r="AH24" s="307"/>
      <c r="AI24" s="42"/>
      <c r="AJ24" s="1"/>
      <c r="AK24" s="1"/>
      <c r="AL24" s="1"/>
      <c r="AM24" s="1"/>
      <c r="AN24" s="1" t="s">
        <v>51</v>
      </c>
      <c r="AO24" s="1" t="s">
        <v>51</v>
      </c>
      <c r="AP24" s="1"/>
      <c r="AQ24" s="1" t="s">
        <v>51</v>
      </c>
      <c r="AR24" s="1"/>
      <c r="AS24" s="1"/>
      <c r="AT24" s="1"/>
      <c r="AU24" s="1"/>
      <c r="AV24" s="1"/>
      <c r="AW24" s="1"/>
      <c r="AX24" s="1"/>
      <c r="AY24" s="1"/>
      <c r="AZ24" s="1"/>
      <c r="BA24" s="233"/>
      <c r="BB24" s="233"/>
      <c r="BC24" s="233"/>
      <c r="BD24" s="1"/>
      <c r="BE24" s="1"/>
      <c r="BF24" s="1"/>
      <c r="BG24" s="19" t="s">
        <v>73</v>
      </c>
      <c r="BH24" s="253">
        <v>500</v>
      </c>
      <c r="BI24" s="503">
        <v>600</v>
      </c>
      <c r="BJ24" s="559" t="s">
        <v>73</v>
      </c>
      <c r="BK24" s="3" t="s">
        <v>74</v>
      </c>
      <c r="BL24" s="3" t="s">
        <v>100</v>
      </c>
    </row>
    <row r="25" spans="1:127" ht="23" hidden="1" customHeight="1" x14ac:dyDescent="0.35">
      <c r="A25" s="457">
        <v>1298</v>
      </c>
      <c r="B25" s="411" t="s">
        <v>156</v>
      </c>
      <c r="C25" s="501"/>
      <c r="D25" s="548" t="s">
        <v>57</v>
      </c>
      <c r="E25" s="411"/>
      <c r="F25" s="411">
        <v>288699645</v>
      </c>
      <c r="G25" s="411" t="s">
        <v>157</v>
      </c>
      <c r="H25" s="451" t="s">
        <v>158</v>
      </c>
      <c r="I25" s="518"/>
      <c r="J25" s="445" t="s">
        <v>49</v>
      </c>
      <c r="K25" s="452">
        <v>0.1</v>
      </c>
      <c r="L25" s="452"/>
      <c r="M25" s="459"/>
      <c r="N25" s="716"/>
      <c r="O25" s="462"/>
      <c r="P25" s="461">
        <v>288637135</v>
      </c>
      <c r="Q25" s="461" t="s">
        <v>159</v>
      </c>
      <c r="R25" s="461">
        <v>290197112</v>
      </c>
      <c r="S25" s="461"/>
      <c r="T25" s="461"/>
      <c r="U25" s="461"/>
      <c r="V25" s="461"/>
      <c r="W25" s="461"/>
      <c r="X25" s="463"/>
      <c r="Y25" s="463"/>
      <c r="Z25" s="464"/>
      <c r="AA25" s="464"/>
      <c r="AB25" s="465"/>
      <c r="AC25" s="474"/>
      <c r="AD25" s="491"/>
      <c r="AE25" s="450" t="s">
        <v>50</v>
      </c>
      <c r="AF25" s="450"/>
      <c r="AG25" s="474"/>
      <c r="AH25" s="307"/>
      <c r="AI25" s="450"/>
      <c r="AJ25" s="176"/>
      <c r="AK25" s="1"/>
      <c r="AL25" s="1"/>
      <c r="AM25" s="1"/>
      <c r="AN25" s="1"/>
      <c r="AO25" s="1" t="s">
        <v>51</v>
      </c>
      <c r="AP25" s="1"/>
      <c r="AQ25" s="1" t="s">
        <v>51</v>
      </c>
      <c r="AR25" s="1"/>
      <c r="AS25" s="1"/>
      <c r="AT25" s="1"/>
      <c r="AU25" s="1"/>
      <c r="AV25" s="1"/>
      <c r="AW25" s="1"/>
      <c r="AX25" s="1"/>
      <c r="AY25" s="1"/>
      <c r="AZ25" s="1"/>
      <c r="BA25" s="233"/>
      <c r="BB25" s="233"/>
      <c r="BC25" s="233"/>
      <c r="BD25" s="1"/>
      <c r="BE25" s="1"/>
      <c r="BF25" s="1"/>
      <c r="BG25" s="194"/>
      <c r="BH25" s="194">
        <v>500</v>
      </c>
      <c r="BI25" s="503">
        <v>550</v>
      </c>
      <c r="BJ25" s="268"/>
      <c r="BK25" s="3"/>
      <c r="BL25" s="3"/>
    </row>
    <row r="26" spans="1:127" ht="23" customHeight="1" x14ac:dyDescent="0.35">
      <c r="A26" s="457">
        <v>1298</v>
      </c>
      <c r="B26" s="411" t="s">
        <v>160</v>
      </c>
      <c r="C26" s="411" t="s">
        <v>81</v>
      </c>
      <c r="D26" s="411" t="s">
        <v>161</v>
      </c>
      <c r="E26" s="411"/>
      <c r="F26" s="411">
        <v>290197112</v>
      </c>
      <c r="G26" s="411" t="s">
        <v>162</v>
      </c>
      <c r="H26" s="451"/>
      <c r="I26" s="518"/>
      <c r="J26" s="445" t="s">
        <v>60</v>
      </c>
      <c r="K26" s="600">
        <v>0.99</v>
      </c>
      <c r="L26" s="475"/>
      <c r="M26" s="459"/>
      <c r="N26" s="460"/>
      <c r="O26" s="462"/>
      <c r="P26" s="461"/>
      <c r="Q26" s="461"/>
      <c r="R26" s="461"/>
      <c r="S26" s="461"/>
      <c r="T26" s="461"/>
      <c r="U26" s="461"/>
      <c r="V26" s="461"/>
      <c r="W26" s="461"/>
      <c r="X26" s="463"/>
      <c r="Y26" s="463"/>
      <c r="Z26" s="464"/>
      <c r="AA26" s="464"/>
      <c r="AB26" s="465"/>
      <c r="AC26" s="474"/>
      <c r="AD26" s="491"/>
      <c r="AE26" s="450"/>
      <c r="AF26" s="450"/>
      <c r="AG26" s="474"/>
      <c r="AH26" s="307"/>
      <c r="AI26" s="450"/>
      <c r="AJ26" s="176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233"/>
      <c r="BB26" s="233"/>
      <c r="BC26" s="233"/>
      <c r="BD26" s="1"/>
      <c r="BE26" s="1"/>
      <c r="BF26" s="1"/>
      <c r="BG26" s="194"/>
      <c r="BH26" s="194"/>
      <c r="BI26" s="194"/>
      <c r="BJ26" s="268"/>
      <c r="BK26" s="3"/>
      <c r="BL26" s="3"/>
    </row>
    <row r="27" spans="1:127" s="328" customFormat="1" ht="23" hidden="1" customHeight="1" x14ac:dyDescent="0.35">
      <c r="A27" s="457">
        <v>1304</v>
      </c>
      <c r="B27" s="42" t="s">
        <v>163</v>
      </c>
      <c r="C27" s="501" t="s">
        <v>118</v>
      </c>
      <c r="D27" s="548" t="s">
        <v>57</v>
      </c>
      <c r="E27" s="42"/>
      <c r="F27" s="42">
        <v>300776497</v>
      </c>
      <c r="G27" s="42" t="s">
        <v>164</v>
      </c>
      <c r="H27" s="461" t="s">
        <v>165</v>
      </c>
      <c r="I27" s="461"/>
      <c r="J27" s="461" t="s">
        <v>60</v>
      </c>
      <c r="K27" s="452">
        <v>0.1</v>
      </c>
      <c r="L27" s="461"/>
      <c r="M27" s="459"/>
      <c r="N27" s="478"/>
      <c r="O27" s="461"/>
      <c r="P27" s="461"/>
      <c r="Q27" s="461"/>
      <c r="R27" s="461"/>
      <c r="S27" s="461"/>
      <c r="T27" s="461"/>
      <c r="U27" s="461"/>
      <c r="V27" s="461"/>
      <c r="W27" s="461"/>
      <c r="X27" s="461"/>
      <c r="Y27" s="461"/>
      <c r="Z27" s="464"/>
      <c r="AA27" s="464"/>
      <c r="AB27" s="465"/>
      <c r="AC27" s="474"/>
      <c r="AD27" s="42"/>
      <c r="AE27" s="42" t="s">
        <v>50</v>
      </c>
      <c r="AF27" s="42"/>
      <c r="AG27" s="42"/>
      <c r="AH27" s="42"/>
      <c r="AI27" s="4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>
        <v>400</v>
      </c>
      <c r="BI27" s="2">
        <v>450</v>
      </c>
      <c r="BJ27" s="2"/>
      <c r="BK27" s="563"/>
      <c r="BL27" s="563"/>
      <c r="BM27" s="530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</row>
    <row r="28" spans="1:127" ht="23" hidden="1" customHeight="1" x14ac:dyDescent="0.35">
      <c r="A28" s="457">
        <v>1311</v>
      </c>
      <c r="B28" s="411" t="s">
        <v>166</v>
      </c>
      <c r="C28" s="546" t="s">
        <v>132</v>
      </c>
      <c r="D28" s="480"/>
      <c r="E28" s="411"/>
      <c r="F28" s="411" t="s">
        <v>167</v>
      </c>
      <c r="G28" s="411" t="s">
        <v>168</v>
      </c>
      <c r="H28" s="451" t="s">
        <v>169</v>
      </c>
      <c r="I28" s="518"/>
      <c r="J28" s="461" t="s">
        <v>49</v>
      </c>
      <c r="K28" s="600">
        <v>0.1</v>
      </c>
      <c r="L28" s="452"/>
      <c r="M28" s="459"/>
      <c r="N28" s="716"/>
      <c r="O28" s="462"/>
      <c r="P28" s="461" t="s">
        <v>170</v>
      </c>
      <c r="Q28" s="461" t="s">
        <v>171</v>
      </c>
      <c r="R28" s="461" t="s">
        <v>172</v>
      </c>
      <c r="S28" s="461"/>
      <c r="T28" s="461"/>
      <c r="U28" s="461"/>
      <c r="V28" s="461"/>
      <c r="W28" s="461"/>
      <c r="X28" s="463"/>
      <c r="Y28" s="463"/>
      <c r="Z28" s="464"/>
      <c r="AA28" s="464"/>
      <c r="AB28" s="465"/>
      <c r="AC28" s="474"/>
      <c r="AD28" s="491"/>
      <c r="AE28" s="450" t="s">
        <v>50</v>
      </c>
      <c r="AF28" s="450"/>
      <c r="AG28" s="474"/>
      <c r="AH28" s="307"/>
      <c r="AI28" s="450"/>
      <c r="AJ28" s="176"/>
      <c r="AK28" s="1"/>
      <c r="AL28" s="1"/>
      <c r="AM28" s="1"/>
      <c r="AN28" s="1"/>
      <c r="AO28" s="1"/>
      <c r="AP28" s="1" t="s">
        <v>51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233"/>
      <c r="BB28" s="233"/>
      <c r="BC28" s="233"/>
      <c r="BD28" s="1"/>
      <c r="BE28" s="1"/>
      <c r="BF28" s="1"/>
      <c r="BG28" s="194"/>
      <c r="BH28" s="194">
        <v>400</v>
      </c>
      <c r="BI28" s="194">
        <v>600</v>
      </c>
      <c r="BJ28" s="268"/>
      <c r="BK28" s="3"/>
      <c r="BL28" s="3"/>
    </row>
    <row r="29" spans="1:127" ht="23" customHeight="1" x14ac:dyDescent="0.35">
      <c r="A29" s="457">
        <v>1311</v>
      </c>
      <c r="B29" s="411" t="s">
        <v>173</v>
      </c>
      <c r="C29" s="546" t="s">
        <v>132</v>
      </c>
      <c r="D29" s="480"/>
      <c r="E29" s="411"/>
      <c r="F29" s="411" t="s">
        <v>171</v>
      </c>
      <c r="G29" s="411" t="s">
        <v>174</v>
      </c>
      <c r="H29" s="451" t="s">
        <v>175</v>
      </c>
      <c r="I29" s="518"/>
      <c r="J29" s="445" t="s">
        <v>60</v>
      </c>
      <c r="K29" s="600">
        <v>0.99</v>
      </c>
      <c r="L29" s="452"/>
      <c r="M29" s="459"/>
      <c r="N29" s="460"/>
      <c r="O29" s="462"/>
      <c r="P29" s="461"/>
      <c r="Q29" s="461"/>
      <c r="R29" s="461"/>
      <c r="S29" s="461"/>
      <c r="T29" s="461"/>
      <c r="U29" s="461"/>
      <c r="V29" s="461"/>
      <c r="W29" s="461"/>
      <c r="X29" s="463"/>
      <c r="Y29" s="463"/>
      <c r="Z29" s="464"/>
      <c r="AA29" s="464"/>
      <c r="AB29" s="465"/>
      <c r="AC29" s="474"/>
      <c r="AD29" s="491"/>
      <c r="AE29" s="450" t="s">
        <v>50</v>
      </c>
      <c r="AF29" s="450"/>
      <c r="AG29" s="474"/>
      <c r="AH29" s="307"/>
      <c r="AI29" s="450"/>
      <c r="AJ29" s="176"/>
      <c r="AK29" s="1"/>
      <c r="AL29" s="1"/>
      <c r="AM29" s="1"/>
      <c r="AN29" s="1"/>
      <c r="AO29" s="1"/>
      <c r="AP29" s="1" t="s">
        <v>51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233"/>
      <c r="BB29" s="233"/>
      <c r="BC29" s="233"/>
      <c r="BD29" s="1"/>
      <c r="BE29" s="1"/>
      <c r="BF29" s="1"/>
      <c r="BG29" s="194"/>
      <c r="BH29" s="194">
        <v>400</v>
      </c>
      <c r="BI29" s="194">
        <v>600</v>
      </c>
      <c r="BJ29" s="268"/>
      <c r="BK29" s="3"/>
      <c r="BL29" s="3"/>
    </row>
    <row r="30" spans="1:127" ht="23" customHeight="1" x14ac:dyDescent="0.35">
      <c r="A30" s="457">
        <v>1317</v>
      </c>
      <c r="B30" s="411" t="s">
        <v>176</v>
      </c>
      <c r="C30" s="547" t="s">
        <v>66</v>
      </c>
      <c r="D30" s="547"/>
      <c r="E30" s="411"/>
      <c r="F30" s="411" t="s">
        <v>177</v>
      </c>
      <c r="G30" s="411" t="s">
        <v>178</v>
      </c>
      <c r="H30" s="451" t="s">
        <v>179</v>
      </c>
      <c r="I30" s="518"/>
      <c r="J30" s="461" t="s">
        <v>60</v>
      </c>
      <c r="K30" s="600">
        <v>0.99</v>
      </c>
      <c r="L30" s="452" t="s">
        <v>73</v>
      </c>
      <c r="M30" s="459"/>
      <c r="N30" s="460"/>
      <c r="O30" s="462"/>
      <c r="P30" s="461" t="s">
        <v>180</v>
      </c>
      <c r="Q30" s="461">
        <v>305645005</v>
      </c>
      <c r="R30" s="461" t="s">
        <v>181</v>
      </c>
      <c r="S30" s="461"/>
      <c r="T30" s="461"/>
      <c r="U30" s="461"/>
      <c r="V30" s="461"/>
      <c r="W30" s="461" t="s">
        <v>182</v>
      </c>
      <c r="X30" s="463"/>
      <c r="Y30" s="463"/>
      <c r="Z30" s="464"/>
      <c r="AA30" s="464"/>
      <c r="AB30" s="465"/>
      <c r="AC30" s="474"/>
      <c r="AD30" s="491"/>
      <c r="AE30" s="450" t="s">
        <v>50</v>
      </c>
      <c r="AF30" s="450"/>
      <c r="AG30" s="474"/>
      <c r="AH30" s="307"/>
      <c r="AI30" s="450"/>
      <c r="AJ30" s="176"/>
      <c r="AK30" s="1"/>
      <c r="AL30" s="1"/>
      <c r="AM30" s="1"/>
      <c r="AN30" s="1"/>
      <c r="AO30" s="1" t="s">
        <v>51</v>
      </c>
      <c r="AP30" s="1"/>
      <c r="AQ30" s="1" t="s">
        <v>51</v>
      </c>
      <c r="AR30" s="1"/>
      <c r="AS30" s="1"/>
      <c r="AT30" s="1"/>
      <c r="AU30" s="1"/>
      <c r="AV30" s="1"/>
      <c r="AW30" s="1"/>
      <c r="AX30" s="1"/>
      <c r="AY30" s="1"/>
      <c r="AZ30" s="1"/>
      <c r="BA30" s="233"/>
      <c r="BB30" s="233"/>
      <c r="BC30" s="233"/>
      <c r="BD30" s="1"/>
      <c r="BE30" s="1"/>
      <c r="BF30" s="1"/>
      <c r="BG30" s="194" t="s">
        <v>183</v>
      </c>
      <c r="BH30" s="194">
        <v>400</v>
      </c>
      <c r="BI30" s="194">
        <v>850</v>
      </c>
      <c r="BJ30" s="268"/>
      <c r="BK30" s="3" t="s">
        <v>74</v>
      </c>
      <c r="BL30" s="3"/>
    </row>
    <row r="31" spans="1:127" ht="23" customHeight="1" x14ac:dyDescent="0.35">
      <c r="A31" s="457">
        <v>1319</v>
      </c>
      <c r="B31" s="411" t="s">
        <v>184</v>
      </c>
      <c r="C31" s="411" t="s">
        <v>81</v>
      </c>
      <c r="D31" s="411" t="s">
        <v>185</v>
      </c>
      <c r="E31" s="411"/>
      <c r="F31" s="411" t="s">
        <v>186</v>
      </c>
      <c r="G31" s="411" t="s">
        <v>187</v>
      </c>
      <c r="H31" s="451" t="s">
        <v>188</v>
      </c>
      <c r="I31" s="518"/>
      <c r="J31" s="461" t="s">
        <v>60</v>
      </c>
      <c r="K31" s="600">
        <v>0.99</v>
      </c>
      <c r="L31" s="452"/>
      <c r="M31" s="459"/>
      <c r="N31" s="460"/>
      <c r="O31" s="462"/>
      <c r="P31" s="461" t="s">
        <v>189</v>
      </c>
      <c r="Q31" s="461" t="s">
        <v>190</v>
      </c>
      <c r="R31" s="461" t="s">
        <v>191</v>
      </c>
      <c r="S31" s="461"/>
      <c r="T31" s="461"/>
      <c r="U31" s="461"/>
      <c r="V31" s="461"/>
      <c r="W31" s="461" t="s">
        <v>182</v>
      </c>
      <c r="X31" s="463"/>
      <c r="Y31" s="463"/>
      <c r="Z31" s="42"/>
      <c r="AA31" s="42"/>
      <c r="AB31" s="474"/>
      <c r="AC31" s="474"/>
      <c r="AD31" s="491"/>
      <c r="AE31" s="450" t="s">
        <v>50</v>
      </c>
      <c r="AF31" s="450"/>
      <c r="AG31" s="474"/>
      <c r="AH31" s="307"/>
      <c r="AI31" s="450"/>
      <c r="AJ31" s="176"/>
      <c r="AK31" s="1"/>
      <c r="AL31" s="1"/>
      <c r="AM31" s="1"/>
      <c r="AN31" s="1"/>
      <c r="AO31" s="1" t="s">
        <v>51</v>
      </c>
      <c r="AP31" s="1"/>
      <c r="AQ31" s="1" t="s">
        <v>51</v>
      </c>
      <c r="AR31" s="1"/>
      <c r="AS31" s="1"/>
      <c r="AT31" s="1"/>
      <c r="AU31" s="1"/>
      <c r="AV31" s="1"/>
      <c r="AW31" s="1"/>
      <c r="AX31" s="1"/>
      <c r="AY31" s="1"/>
      <c r="AZ31" s="1"/>
      <c r="BA31" s="233"/>
      <c r="BB31" s="233"/>
      <c r="BC31" s="233"/>
      <c r="BD31" s="1"/>
      <c r="BE31" s="1"/>
      <c r="BF31" s="1"/>
      <c r="BG31" s="194" t="s">
        <v>73</v>
      </c>
      <c r="BH31" s="194">
        <v>500</v>
      </c>
      <c r="BI31" s="194">
        <v>500</v>
      </c>
      <c r="BJ31" s="560" t="s">
        <v>73</v>
      </c>
      <c r="BK31" s="3" t="s">
        <v>74</v>
      </c>
      <c r="BL31" s="3" t="s">
        <v>100</v>
      </c>
    </row>
    <row r="32" spans="1:127" s="328" customFormat="1" ht="23" hidden="1" customHeight="1" x14ac:dyDescent="0.35">
      <c r="A32" s="457">
        <v>1327</v>
      </c>
      <c r="B32" s="42" t="s">
        <v>196</v>
      </c>
      <c r="C32" s="546" t="s">
        <v>132</v>
      </c>
      <c r="D32" s="546"/>
      <c r="E32" s="42"/>
      <c r="F32" s="42" t="s">
        <v>197</v>
      </c>
      <c r="G32" s="42" t="s">
        <v>198</v>
      </c>
      <c r="H32" s="461" t="s">
        <v>199</v>
      </c>
      <c r="I32" s="461"/>
      <c r="J32" s="461" t="s">
        <v>49</v>
      </c>
      <c r="K32" s="452">
        <v>0.1</v>
      </c>
      <c r="L32" s="461" t="s">
        <v>73</v>
      </c>
      <c r="M32" s="459"/>
      <c r="N32" s="478"/>
      <c r="O32" s="461"/>
      <c r="P32" s="461"/>
      <c r="Q32" s="461"/>
      <c r="R32" s="461"/>
      <c r="S32" s="461"/>
      <c r="T32" s="461"/>
      <c r="U32" s="461"/>
      <c r="V32" s="461"/>
      <c r="W32" s="461"/>
      <c r="X32" s="461"/>
      <c r="Y32" s="461"/>
      <c r="Z32" s="464"/>
      <c r="AA32" s="464"/>
      <c r="AB32" s="465"/>
      <c r="AC32" s="474"/>
      <c r="AD32" s="42"/>
      <c r="AE32" s="42" t="s">
        <v>50</v>
      </c>
      <c r="AF32" s="42"/>
      <c r="AG32" s="42"/>
      <c r="AH32" s="42"/>
      <c r="AI32" s="42"/>
      <c r="AJ32" s="2"/>
      <c r="AK32" s="2"/>
      <c r="AL32" s="2"/>
      <c r="AM32" s="2"/>
      <c r="AN32" s="2"/>
      <c r="AO32" s="2" t="s">
        <v>51</v>
      </c>
      <c r="AP32" s="2"/>
      <c r="AQ32" s="2" t="s">
        <v>51</v>
      </c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53">
        <v>500</v>
      </c>
      <c r="BI32" s="194">
        <v>600</v>
      </c>
      <c r="BJ32" s="2"/>
      <c r="BK32" s="563"/>
      <c r="BL32" s="563"/>
      <c r="BM32" s="530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</row>
    <row r="33" spans="1:64" ht="23" hidden="1" customHeight="1" x14ac:dyDescent="0.35">
      <c r="A33" s="457">
        <v>1344</v>
      </c>
      <c r="B33" s="42" t="s">
        <v>200</v>
      </c>
      <c r="C33" s="548" t="s">
        <v>45</v>
      </c>
      <c r="D33" s="548"/>
      <c r="E33" s="42"/>
      <c r="F33" s="42" t="s">
        <v>201</v>
      </c>
      <c r="G33" s="42" t="s">
        <v>1093</v>
      </c>
      <c r="H33" s="461" t="s">
        <v>203</v>
      </c>
      <c r="I33" s="461"/>
      <c r="J33" s="461" t="s">
        <v>204</v>
      </c>
      <c r="K33" s="452">
        <v>0.05</v>
      </c>
      <c r="L33" s="461"/>
      <c r="M33" s="446"/>
      <c r="N33" s="478"/>
      <c r="O33" s="461"/>
      <c r="P33" s="461" t="s">
        <v>205</v>
      </c>
      <c r="Q33" s="461"/>
      <c r="R33" s="461"/>
      <c r="S33" s="461"/>
      <c r="T33" s="461"/>
      <c r="U33" s="461"/>
      <c r="V33" s="461"/>
      <c r="W33" s="461"/>
      <c r="X33" s="461"/>
      <c r="Y33" s="461"/>
      <c r="Z33" s="464"/>
      <c r="AA33" s="464"/>
      <c r="AB33" s="465"/>
      <c r="AC33" s="474"/>
      <c r="AD33" s="491"/>
      <c r="AE33" s="450" t="s">
        <v>50</v>
      </c>
      <c r="AF33" s="450"/>
      <c r="AG33" s="501"/>
      <c r="AH33" s="307"/>
      <c r="AI33" s="450"/>
      <c r="AJ33" s="176"/>
      <c r="AK33" s="1"/>
      <c r="AL33" s="1"/>
      <c r="AM33" s="1"/>
      <c r="AN33" s="1"/>
      <c r="AO33" s="1" t="s">
        <v>51</v>
      </c>
      <c r="AP33" s="1"/>
      <c r="AQ33" s="1" t="s">
        <v>51</v>
      </c>
      <c r="AR33" s="1"/>
      <c r="AS33" s="1"/>
      <c r="AT33" s="1"/>
      <c r="AU33" s="1"/>
      <c r="AV33" s="1"/>
      <c r="AW33" s="1"/>
      <c r="AX33" s="1"/>
      <c r="AY33" s="1"/>
      <c r="AZ33" s="1"/>
      <c r="BA33" s="233"/>
      <c r="BB33" s="233"/>
      <c r="BC33" s="233"/>
      <c r="BD33" s="1"/>
      <c r="BE33" s="1"/>
      <c r="BF33" s="1"/>
      <c r="BG33" s="26"/>
      <c r="BH33" s="253">
        <v>800</v>
      </c>
      <c r="BI33" s="194" t="s">
        <v>61</v>
      </c>
      <c r="BJ33" s="26"/>
      <c r="BK33" s="3"/>
      <c r="BL33" s="3"/>
    </row>
    <row r="34" spans="1:64" ht="23" customHeight="1" x14ac:dyDescent="0.35">
      <c r="A34" s="457" t="s">
        <v>206</v>
      </c>
      <c r="B34" s="398" t="s">
        <v>207</v>
      </c>
      <c r="C34" s="548"/>
      <c r="D34" s="548"/>
      <c r="E34" s="42"/>
      <c r="F34" s="42">
        <v>293521301</v>
      </c>
      <c r="G34" s="42" t="s">
        <v>208</v>
      </c>
      <c r="H34" s="461" t="s">
        <v>209</v>
      </c>
      <c r="I34" s="461"/>
      <c r="J34" s="461" t="s">
        <v>60</v>
      </c>
      <c r="K34" s="733">
        <v>0.99</v>
      </c>
      <c r="L34" s="461"/>
      <c r="M34" s="446"/>
      <c r="N34" s="461"/>
      <c r="O34" s="461"/>
      <c r="P34" s="461" t="s">
        <v>210</v>
      </c>
      <c r="Q34" s="461">
        <v>293520925</v>
      </c>
      <c r="R34" s="461" t="s">
        <v>211</v>
      </c>
      <c r="S34" s="461"/>
      <c r="T34" s="461"/>
      <c r="U34" s="461"/>
      <c r="V34" s="461"/>
      <c r="W34" s="461"/>
      <c r="X34" s="461"/>
      <c r="Y34" s="461"/>
      <c r="Z34" s="464"/>
      <c r="AA34" s="464"/>
      <c r="AB34" s="465"/>
      <c r="AC34" s="474"/>
      <c r="AD34" s="491"/>
      <c r="AE34" s="450" t="s">
        <v>50</v>
      </c>
      <c r="AF34" s="450"/>
      <c r="AG34" s="501"/>
      <c r="AH34" s="307"/>
      <c r="AI34" s="450"/>
      <c r="AJ34" s="176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233"/>
      <c r="BB34" s="233"/>
      <c r="BC34" s="233"/>
      <c r="BD34" s="1"/>
      <c r="BE34" s="1"/>
      <c r="BF34" s="1"/>
      <c r="BG34" s="26" t="s">
        <v>73</v>
      </c>
      <c r="BH34" s="253">
        <v>0</v>
      </c>
      <c r="BI34" s="177" t="s">
        <v>212</v>
      </c>
      <c r="BJ34" s="26" t="s">
        <v>73</v>
      </c>
      <c r="BK34" s="3" t="s">
        <v>99</v>
      </c>
      <c r="BL34" s="3" t="s">
        <v>100</v>
      </c>
    </row>
    <row r="35" spans="1:64" ht="23" hidden="1" customHeight="1" x14ac:dyDescent="0.35">
      <c r="A35" s="457">
        <v>1348</v>
      </c>
      <c r="B35" s="411" t="s">
        <v>213</v>
      </c>
      <c r="C35" s="546" t="s">
        <v>132</v>
      </c>
      <c r="D35" s="550"/>
      <c r="E35" s="411"/>
      <c r="F35" s="411" t="s">
        <v>214</v>
      </c>
      <c r="G35" s="411" t="s">
        <v>215</v>
      </c>
      <c r="H35" s="478" t="s">
        <v>216</v>
      </c>
      <c r="I35" s="478"/>
      <c r="J35" s="478" t="s">
        <v>49</v>
      </c>
      <c r="K35" s="452">
        <v>0.05</v>
      </c>
      <c r="L35" s="478"/>
      <c r="M35" s="459"/>
      <c r="N35" s="478"/>
      <c r="O35" s="462"/>
      <c r="P35" s="478" t="s">
        <v>217</v>
      </c>
      <c r="Q35" s="478" t="s">
        <v>218</v>
      </c>
      <c r="R35" s="478" t="s">
        <v>219</v>
      </c>
      <c r="S35" s="478"/>
      <c r="T35" s="478"/>
      <c r="U35" s="478"/>
      <c r="V35" s="478"/>
      <c r="W35" s="478"/>
      <c r="X35" s="463"/>
      <c r="Y35" s="463"/>
      <c r="Z35" s="464"/>
      <c r="AA35" s="464"/>
      <c r="AB35" s="465"/>
      <c r="AC35" s="474"/>
      <c r="AD35" s="491"/>
      <c r="AE35" s="450" t="s">
        <v>50</v>
      </c>
      <c r="AF35" s="450"/>
      <c r="AG35" s="501"/>
      <c r="AH35" s="307"/>
      <c r="AI35" s="450"/>
      <c r="AJ35" s="176"/>
      <c r="AK35" s="1"/>
      <c r="AL35" s="1"/>
      <c r="AM35" s="1"/>
      <c r="AN35" s="1"/>
      <c r="AO35" s="1" t="s">
        <v>51</v>
      </c>
      <c r="AP35" s="1"/>
      <c r="AQ35" s="1" t="s">
        <v>51</v>
      </c>
      <c r="AR35" s="1"/>
      <c r="AS35" s="1"/>
      <c r="AT35" s="1"/>
      <c r="AU35" s="1"/>
      <c r="AV35" s="1"/>
      <c r="AW35" s="1"/>
      <c r="AX35" s="1"/>
      <c r="AY35" s="1"/>
      <c r="AZ35" s="1"/>
      <c r="BA35" s="233"/>
      <c r="BB35" s="233"/>
      <c r="BC35" s="233"/>
      <c r="BD35" s="1"/>
      <c r="BE35" s="1"/>
      <c r="BF35" s="1"/>
      <c r="BG35" s="26"/>
      <c r="BH35" s="253">
        <v>850</v>
      </c>
      <c r="BI35" s="194">
        <v>900</v>
      </c>
      <c r="BJ35" s="26" t="s">
        <v>73</v>
      </c>
      <c r="BK35" s="3" t="s">
        <v>220</v>
      </c>
      <c r="BL35" s="3" t="s">
        <v>221</v>
      </c>
    </row>
    <row r="36" spans="1:64" ht="23" hidden="1" customHeight="1" x14ac:dyDescent="0.35">
      <c r="A36" s="457">
        <v>1350</v>
      </c>
      <c r="B36" s="411" t="s">
        <v>222</v>
      </c>
      <c r="C36" s="546" t="s">
        <v>132</v>
      </c>
      <c r="D36" s="550"/>
      <c r="E36" s="411"/>
      <c r="F36" s="470" t="s">
        <v>223</v>
      </c>
      <c r="G36" s="411" t="s">
        <v>224</v>
      </c>
      <c r="H36" s="478" t="s">
        <v>225</v>
      </c>
      <c r="I36" s="478"/>
      <c r="J36" s="461" t="s">
        <v>60</v>
      </c>
      <c r="K36" s="600">
        <f>[8]Info!$C$14</f>
        <v>1</v>
      </c>
      <c r="L36" s="478" t="s">
        <v>73</v>
      </c>
      <c r="M36" s="459">
        <v>46183</v>
      </c>
      <c r="N36" s="478"/>
      <c r="O36" s="462"/>
      <c r="P36" s="478"/>
      <c r="Q36" s="478"/>
      <c r="R36" s="478"/>
      <c r="S36" s="478"/>
      <c r="T36" s="478"/>
      <c r="U36" s="478"/>
      <c r="V36" s="478"/>
      <c r="W36" s="478" t="s">
        <v>51</v>
      </c>
      <c r="X36" s="463"/>
      <c r="Y36" s="463"/>
      <c r="Z36" s="42"/>
      <c r="AA36" s="42"/>
      <c r="AB36" s="465"/>
      <c r="AC36" s="465"/>
      <c r="AD36" s="491"/>
      <c r="AE36" s="450" t="s">
        <v>50</v>
      </c>
      <c r="AF36" s="450"/>
      <c r="AG36" s="302"/>
      <c r="AH36" s="307"/>
      <c r="AI36" s="450"/>
      <c r="AJ36" s="176"/>
      <c r="AK36" s="1"/>
      <c r="AL36" s="1"/>
      <c r="AM36" s="1"/>
      <c r="AN36" s="1" t="s">
        <v>182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233"/>
      <c r="BB36" s="233"/>
      <c r="BC36" s="233"/>
      <c r="BD36" s="1"/>
      <c r="BE36" s="1"/>
      <c r="BF36" s="1"/>
      <c r="BG36" s="295"/>
      <c r="BH36" s="253">
        <v>100</v>
      </c>
      <c r="BI36" s="194" t="s">
        <v>61</v>
      </c>
      <c r="BJ36" s="519"/>
      <c r="BK36" s="3"/>
      <c r="BL36" s="3"/>
    </row>
    <row r="37" spans="1:64" ht="23" customHeight="1" x14ac:dyDescent="0.35">
      <c r="A37" s="457">
        <v>1352</v>
      </c>
      <c r="B37" s="411" t="s">
        <v>226</v>
      </c>
      <c r="C37" s="548" t="s">
        <v>45</v>
      </c>
      <c r="D37" s="548"/>
      <c r="E37" s="411"/>
      <c r="F37" s="411" t="s">
        <v>227</v>
      </c>
      <c r="G37" s="411" t="s">
        <v>228</v>
      </c>
      <c r="H37" s="478" t="s">
        <v>229</v>
      </c>
      <c r="I37" s="478"/>
      <c r="J37" s="478" t="s">
        <v>60</v>
      </c>
      <c r="K37" s="600">
        <v>0.99</v>
      </c>
      <c r="L37" s="478"/>
      <c r="M37" s="520"/>
      <c r="N37" s="478"/>
      <c r="O37" s="462"/>
      <c r="P37" s="478"/>
      <c r="Q37" s="478"/>
      <c r="R37" s="478"/>
      <c r="S37" s="478"/>
      <c r="T37" s="478"/>
      <c r="U37" s="478"/>
      <c r="V37" s="478"/>
      <c r="W37" s="478" t="s">
        <v>51</v>
      </c>
      <c r="X37" s="463"/>
      <c r="Y37" s="463"/>
      <c r="Z37" s="42"/>
      <c r="AA37" s="42"/>
      <c r="AB37" s="465"/>
      <c r="AC37" s="465"/>
      <c r="AD37" s="491"/>
      <c r="AE37" s="450" t="s">
        <v>50</v>
      </c>
      <c r="AF37" s="450"/>
      <c r="AG37" s="302"/>
      <c r="AH37" s="307"/>
      <c r="AI37" s="450"/>
      <c r="AJ37" s="176"/>
      <c r="AK37" s="1"/>
      <c r="AL37" s="1"/>
      <c r="AM37" s="1"/>
      <c r="AN37" s="1"/>
      <c r="AO37" s="1" t="s">
        <v>51</v>
      </c>
      <c r="AP37" s="1"/>
      <c r="AQ37" s="1" t="s">
        <v>51</v>
      </c>
      <c r="AR37" s="1"/>
      <c r="AS37" s="1"/>
      <c r="AT37" s="1"/>
      <c r="AU37" s="1"/>
      <c r="AV37" s="1"/>
      <c r="AW37" s="1"/>
      <c r="AX37" s="1"/>
      <c r="AY37" s="1"/>
      <c r="AZ37" s="1"/>
      <c r="BA37" s="233"/>
      <c r="BB37" s="233"/>
      <c r="BC37" s="233"/>
      <c r="BD37" s="1"/>
      <c r="BE37" s="1"/>
      <c r="BF37" s="1"/>
      <c r="BG37" s="295"/>
      <c r="BH37" s="253">
        <v>500</v>
      </c>
      <c r="BI37" s="194" t="s">
        <v>230</v>
      </c>
      <c r="BJ37" s="519"/>
      <c r="BK37" s="3"/>
      <c r="BL37" s="3"/>
    </row>
    <row r="38" spans="1:64" ht="23" hidden="1" customHeight="1" x14ac:dyDescent="0.35">
      <c r="A38" s="457">
        <v>1371</v>
      </c>
      <c r="B38" s="411" t="s">
        <v>231</v>
      </c>
      <c r="C38" s="411" t="s">
        <v>81</v>
      </c>
      <c r="D38" s="411"/>
      <c r="E38" s="411"/>
      <c r="F38" s="411" t="s">
        <v>232</v>
      </c>
      <c r="G38" s="411" t="s">
        <v>233</v>
      </c>
      <c r="H38" s="451" t="s">
        <v>234</v>
      </c>
      <c r="I38" s="518"/>
      <c r="J38" s="461" t="s">
        <v>60</v>
      </c>
      <c r="K38" s="452">
        <v>0.95</v>
      </c>
      <c r="L38" s="452"/>
      <c r="M38" s="459"/>
      <c r="N38" s="460"/>
      <c r="O38" s="462"/>
      <c r="P38" s="461" t="s">
        <v>235</v>
      </c>
      <c r="Q38" s="461" t="s">
        <v>236</v>
      </c>
      <c r="R38" s="461" t="s">
        <v>237</v>
      </c>
      <c r="S38" s="461"/>
      <c r="T38" s="461"/>
      <c r="U38" s="461"/>
      <c r="V38" s="461"/>
      <c r="W38" s="461"/>
      <c r="X38" s="463"/>
      <c r="Y38" s="463"/>
      <c r="Z38" s="464"/>
      <c r="AA38" s="464"/>
      <c r="AB38" s="495"/>
      <c r="AC38" s="495"/>
      <c r="AD38" s="491"/>
      <c r="AE38" s="450" t="s">
        <v>50</v>
      </c>
      <c r="AF38" s="450"/>
      <c r="AG38" s="474"/>
      <c r="AH38" s="307"/>
      <c r="AI38" s="450"/>
      <c r="AJ38" s="176"/>
      <c r="AK38" s="1"/>
      <c r="AL38" s="1"/>
      <c r="AM38" s="1" t="s">
        <v>51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233"/>
      <c r="BB38" s="233"/>
      <c r="BC38" s="233"/>
      <c r="BD38" s="1"/>
      <c r="BE38" s="1"/>
      <c r="BF38" s="1"/>
      <c r="BG38" s="194" t="s">
        <v>238</v>
      </c>
      <c r="BH38" s="194">
        <v>500</v>
      </c>
      <c r="BI38" s="194">
        <v>550</v>
      </c>
      <c r="BJ38" s="560" t="s">
        <v>73</v>
      </c>
      <c r="BK38" s="3" t="s">
        <v>239</v>
      </c>
      <c r="BL38" s="3"/>
    </row>
    <row r="39" spans="1:64" ht="23" customHeight="1" x14ac:dyDescent="0.35">
      <c r="A39" s="457">
        <v>1378</v>
      </c>
      <c r="B39" s="411" t="s">
        <v>240</v>
      </c>
      <c r="C39" s="548" t="s">
        <v>45</v>
      </c>
      <c r="D39" s="548"/>
      <c r="E39" s="411"/>
      <c r="F39" s="470" t="s">
        <v>241</v>
      </c>
      <c r="G39" s="470" t="s">
        <v>242</v>
      </c>
      <c r="H39" s="451" t="s">
        <v>243</v>
      </c>
      <c r="I39" s="513"/>
      <c r="J39" s="461" t="s">
        <v>60</v>
      </c>
      <c r="K39" s="600">
        <v>0.99</v>
      </c>
      <c r="L39" s="452"/>
      <c r="M39" s="459"/>
      <c r="N39" s="461"/>
      <c r="O39" s="462"/>
      <c r="P39" s="411" t="s">
        <v>244</v>
      </c>
      <c r="Q39" s="470" t="s">
        <v>245</v>
      </c>
      <c r="R39" s="470" t="s">
        <v>246</v>
      </c>
      <c r="S39" s="471"/>
      <c r="T39" s="471"/>
      <c r="U39" s="471"/>
      <c r="V39" s="471"/>
      <c r="W39" s="472"/>
      <c r="X39" s="463"/>
      <c r="Y39" s="463"/>
      <c r="Z39" s="464"/>
      <c r="AA39" s="464"/>
      <c r="AB39" s="495"/>
      <c r="AC39" s="474"/>
      <c r="AD39" s="491"/>
      <c r="AE39" s="450" t="s">
        <v>50</v>
      </c>
      <c r="AF39" s="450"/>
      <c r="AG39" s="521"/>
      <c r="AH39" s="449"/>
      <c r="AI39" s="450"/>
      <c r="AJ39" s="176"/>
      <c r="AK39" s="1"/>
      <c r="AL39" s="1"/>
      <c r="AM39" s="1"/>
      <c r="AN39" s="1"/>
      <c r="AO39" s="1" t="s">
        <v>51</v>
      </c>
      <c r="AP39" s="1"/>
      <c r="AQ39" s="1" t="s">
        <v>51</v>
      </c>
      <c r="AR39" s="1"/>
      <c r="AS39" s="1"/>
      <c r="AT39" s="1"/>
      <c r="AU39" s="1"/>
      <c r="AV39" s="1"/>
      <c r="AW39" s="1"/>
      <c r="AX39" s="1"/>
      <c r="AY39" s="1"/>
      <c r="AZ39" s="1"/>
      <c r="BA39" s="233"/>
      <c r="BB39" s="233"/>
      <c r="BC39" s="233"/>
      <c r="BD39" s="1"/>
      <c r="BE39" s="1"/>
      <c r="BF39" s="1"/>
      <c r="BG39" s="20" t="s">
        <v>247</v>
      </c>
      <c r="BH39" s="253">
        <v>8.5</v>
      </c>
      <c r="BI39" s="194">
        <v>700</v>
      </c>
      <c r="BJ39" s="268"/>
      <c r="BK39" s="3" t="s">
        <v>99</v>
      </c>
      <c r="BL39" s="3"/>
    </row>
    <row r="40" spans="1:64" ht="23" hidden="1" customHeight="1" x14ac:dyDescent="0.35">
      <c r="A40" s="457">
        <v>1394</v>
      </c>
      <c r="B40" s="411" t="s">
        <v>248</v>
      </c>
      <c r="C40" s="411" t="s">
        <v>81</v>
      </c>
      <c r="D40" s="411"/>
      <c r="E40" s="411"/>
      <c r="F40" s="411">
        <v>308346173</v>
      </c>
      <c r="G40" s="411" t="s">
        <v>249</v>
      </c>
      <c r="H40" s="451" t="s">
        <v>250</v>
      </c>
      <c r="I40" s="518"/>
      <c r="J40" s="461" t="s">
        <v>60</v>
      </c>
      <c r="K40" s="600">
        <f>[9]Info!$C$14</f>
        <v>1</v>
      </c>
      <c r="L40" s="452"/>
      <c r="M40" s="459"/>
      <c r="N40" s="460"/>
      <c r="O40" s="462"/>
      <c r="P40" s="461"/>
      <c r="Q40" s="461"/>
      <c r="R40" s="461"/>
      <c r="S40" s="461"/>
      <c r="T40" s="461"/>
      <c r="U40" s="461"/>
      <c r="V40" s="461"/>
      <c r="W40" s="461"/>
      <c r="X40" s="463"/>
      <c r="Y40" s="463"/>
      <c r="Z40" s="464"/>
      <c r="AA40" s="464"/>
      <c r="AB40" s="465"/>
      <c r="AC40" s="465"/>
      <c r="AD40" s="491"/>
      <c r="AE40" s="450" t="s">
        <v>50</v>
      </c>
      <c r="AF40" s="450"/>
      <c r="AG40" s="474"/>
      <c r="AH40" s="307"/>
      <c r="AI40" s="450"/>
      <c r="AJ40" s="176"/>
      <c r="AK40" s="1"/>
      <c r="AL40" s="1"/>
      <c r="AM40" s="1"/>
      <c r="AN40" s="1" t="s">
        <v>51</v>
      </c>
      <c r="AO40" s="1" t="s">
        <v>51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233"/>
      <c r="BB40" s="233"/>
      <c r="BC40" s="233"/>
      <c r="BD40" s="1"/>
      <c r="BE40" s="1"/>
      <c r="BF40" s="1"/>
      <c r="BG40" s="194" t="s">
        <v>73</v>
      </c>
      <c r="BH40" s="194">
        <v>100</v>
      </c>
      <c r="BI40" s="194" t="s">
        <v>251</v>
      </c>
      <c r="BJ40" s="268"/>
      <c r="BK40" s="3"/>
      <c r="BL40" s="3"/>
    </row>
    <row r="41" spans="1:64" s="708" customFormat="1" ht="23" hidden="1" customHeight="1" x14ac:dyDescent="0.35">
      <c r="A41" s="688">
        <v>1401</v>
      </c>
      <c r="B41" s="551" t="s">
        <v>252</v>
      </c>
      <c r="C41" s="688" t="s">
        <v>132</v>
      </c>
      <c r="D41" s="551"/>
      <c r="E41" s="551"/>
      <c r="F41" s="551">
        <v>304328391</v>
      </c>
      <c r="G41" s="551" t="s">
        <v>253</v>
      </c>
      <c r="H41" s="689" t="s">
        <v>254</v>
      </c>
      <c r="I41" s="690"/>
      <c r="J41" s="691" t="s">
        <v>60</v>
      </c>
      <c r="K41" s="692">
        <f>[10]Info!$C$14</f>
        <v>1</v>
      </c>
      <c r="L41" s="692"/>
      <c r="M41" s="693">
        <v>46157</v>
      </c>
      <c r="N41" s="694"/>
      <c r="O41" s="695"/>
      <c r="P41" s="691"/>
      <c r="Q41" s="691"/>
      <c r="R41" s="691"/>
      <c r="S41" s="691"/>
      <c r="T41" s="691"/>
      <c r="U41" s="691"/>
      <c r="V41" s="691"/>
      <c r="W41" s="691"/>
      <c r="X41" s="696"/>
      <c r="Y41" s="696"/>
      <c r="Z41" s="697"/>
      <c r="AA41" s="697"/>
      <c r="AB41" s="698"/>
      <c r="AC41" s="699"/>
      <c r="AD41" s="700"/>
      <c r="AE41" s="701" t="s">
        <v>50</v>
      </c>
      <c r="AF41" s="701"/>
      <c r="AG41" s="550"/>
      <c r="AH41" s="702"/>
      <c r="AI41" s="701"/>
      <c r="AJ41" s="290"/>
      <c r="AK41" s="703"/>
      <c r="AL41" s="703"/>
      <c r="AM41" s="703"/>
      <c r="AN41" s="703"/>
      <c r="AO41" s="703" t="s">
        <v>51</v>
      </c>
      <c r="AP41" s="703"/>
      <c r="AQ41" s="703" t="s">
        <v>51</v>
      </c>
      <c r="AR41" s="703"/>
      <c r="AS41" s="703"/>
      <c r="AT41" s="703"/>
      <c r="AU41" s="703"/>
      <c r="AV41" s="703"/>
      <c r="AW41" s="703"/>
      <c r="AX41" s="703"/>
      <c r="AY41" s="703"/>
      <c r="AZ41" s="703"/>
      <c r="BA41" s="704"/>
      <c r="BB41" s="704"/>
      <c r="BC41" s="704"/>
      <c r="BD41" s="703"/>
      <c r="BE41" s="703"/>
      <c r="BF41" s="703"/>
      <c r="BG41" s="705" t="s">
        <v>73</v>
      </c>
      <c r="BH41" s="34">
        <v>500</v>
      </c>
      <c r="BI41" s="705">
        <v>600</v>
      </c>
      <c r="BJ41" s="706" t="s">
        <v>73</v>
      </c>
      <c r="BK41" s="707" t="s">
        <v>99</v>
      </c>
      <c r="BL41" s="707" t="s">
        <v>100</v>
      </c>
    </row>
    <row r="42" spans="1:64" ht="23" hidden="1" customHeight="1" x14ac:dyDescent="0.35">
      <c r="A42" s="457">
        <v>1404</v>
      </c>
      <c r="B42" s="411" t="s">
        <v>255</v>
      </c>
      <c r="C42" s="546" t="s">
        <v>132</v>
      </c>
      <c r="D42" s="546"/>
      <c r="E42" s="411"/>
      <c r="F42" s="301" t="s">
        <v>256</v>
      </c>
      <c r="G42" s="411" t="s">
        <v>257</v>
      </c>
      <c r="H42" s="478" t="s">
        <v>258</v>
      </c>
      <c r="I42" s="461"/>
      <c r="J42" s="478"/>
      <c r="K42" s="452">
        <v>0</v>
      </c>
      <c r="L42" s="479"/>
      <c r="M42" s="459"/>
      <c r="N42" s="478" t="s">
        <v>51</v>
      </c>
      <c r="O42" s="461" t="s">
        <v>61</v>
      </c>
      <c r="P42" s="461"/>
      <c r="Q42" s="478"/>
      <c r="R42" s="478"/>
      <c r="S42" s="461"/>
      <c r="T42" s="478"/>
      <c r="U42" s="461"/>
      <c r="V42" s="478"/>
      <c r="W42" s="478"/>
      <c r="X42" s="478"/>
      <c r="Y42" s="478"/>
      <c r="Z42" s="464"/>
      <c r="AA42" s="464"/>
      <c r="AB42" s="495"/>
      <c r="AC42" s="553"/>
      <c r="AD42" s="491"/>
      <c r="AE42" s="450"/>
      <c r="AF42" s="450"/>
      <c r="AG42" s="480"/>
      <c r="AH42" s="307"/>
      <c r="AI42" s="42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233"/>
      <c r="BB42" s="233"/>
      <c r="BC42" s="233"/>
      <c r="BD42" s="1"/>
      <c r="BE42" s="1"/>
      <c r="BF42" s="1"/>
      <c r="BG42" s="26"/>
      <c r="BH42" s="253">
        <v>850</v>
      </c>
      <c r="BI42" s="194">
        <v>900</v>
      </c>
      <c r="BJ42" s="26"/>
      <c r="BK42" s="3"/>
      <c r="BL42" s="3"/>
    </row>
    <row r="43" spans="1:64" ht="23" hidden="1" customHeight="1" x14ac:dyDescent="0.35">
      <c r="A43" s="457">
        <v>1404</v>
      </c>
      <c r="B43" s="411" t="s">
        <v>259</v>
      </c>
      <c r="C43" s="546" t="s">
        <v>132</v>
      </c>
      <c r="D43" s="546"/>
      <c r="E43" s="411"/>
      <c r="F43" s="470" t="s">
        <v>260</v>
      </c>
      <c r="G43" s="411" t="s">
        <v>261</v>
      </c>
      <c r="H43" s="451" t="s">
        <v>262</v>
      </c>
      <c r="I43" s="518"/>
      <c r="J43" s="461" t="s">
        <v>60</v>
      </c>
      <c r="K43" s="452">
        <v>0.95</v>
      </c>
      <c r="L43" s="452"/>
      <c r="M43" s="459"/>
      <c r="N43" s="716"/>
      <c r="O43" s="462"/>
      <c r="P43" s="461"/>
      <c r="Q43" s="461"/>
      <c r="R43" s="461"/>
      <c r="S43" s="461"/>
      <c r="T43" s="461"/>
      <c r="U43" s="461"/>
      <c r="V43" s="461"/>
      <c r="W43" s="461"/>
      <c r="X43" s="463"/>
      <c r="Y43" s="463"/>
      <c r="Z43" s="464"/>
      <c r="AA43" s="464"/>
      <c r="AB43" s="465"/>
      <c r="AC43" s="474"/>
      <c r="AD43" s="491"/>
      <c r="AE43" s="450"/>
      <c r="AF43" s="450"/>
      <c r="AG43" s="474"/>
      <c r="AH43" s="307"/>
      <c r="AI43" s="450"/>
      <c r="AJ43" s="176"/>
      <c r="AK43" s="1"/>
      <c r="AL43" s="1" t="s">
        <v>263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233"/>
      <c r="BB43" s="233"/>
      <c r="BC43" s="233"/>
      <c r="BD43" s="1"/>
      <c r="BE43" s="1"/>
      <c r="BF43" s="1"/>
      <c r="BG43" s="194"/>
      <c r="BH43" s="194"/>
      <c r="BI43" s="194"/>
      <c r="BJ43" s="268"/>
      <c r="BK43" s="3"/>
      <c r="BL43" s="3"/>
    </row>
    <row r="44" spans="1:64" ht="23" hidden="1" customHeight="1" x14ac:dyDescent="0.35">
      <c r="A44" s="301" t="s">
        <v>264</v>
      </c>
      <c r="B44" s="42" t="s">
        <v>265</v>
      </c>
      <c r="C44" s="546" t="s">
        <v>266</v>
      </c>
      <c r="D44" s="546"/>
      <c r="E44" s="411"/>
      <c r="F44" s="470">
        <v>306522721</v>
      </c>
      <c r="G44" s="470" t="s">
        <v>267</v>
      </c>
      <c r="H44" s="451"/>
      <c r="I44" s="518"/>
      <c r="J44" s="461" t="s">
        <v>49</v>
      </c>
      <c r="K44" s="600">
        <f>[11]Info!$C$14</f>
        <v>1</v>
      </c>
      <c r="L44" s="452"/>
      <c r="M44" s="459"/>
      <c r="N44" s="716"/>
      <c r="O44" s="462"/>
      <c r="P44" s="461"/>
      <c r="Q44" s="461"/>
      <c r="R44" s="461"/>
      <c r="S44" s="461"/>
      <c r="T44" s="461"/>
      <c r="U44" s="461"/>
      <c r="V44" s="461"/>
      <c r="W44" s="461"/>
      <c r="X44" s="463"/>
      <c r="Y44" s="463"/>
      <c r="Z44" s="464"/>
      <c r="AA44" s="464"/>
      <c r="AB44" s="465"/>
      <c r="AC44" s="474"/>
      <c r="AD44" s="491"/>
      <c r="AE44" s="450" t="s">
        <v>50</v>
      </c>
      <c r="AF44" s="450"/>
      <c r="AG44" s="474"/>
      <c r="AH44" s="307"/>
      <c r="AI44" s="450"/>
      <c r="AJ44" s="176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233"/>
      <c r="BB44" s="233"/>
      <c r="BC44" s="233"/>
      <c r="BD44" s="1"/>
      <c r="BE44" s="1"/>
      <c r="BF44" s="1"/>
      <c r="BG44" s="194" t="s">
        <v>73</v>
      </c>
      <c r="BH44" s="194">
        <v>0</v>
      </c>
      <c r="BI44" s="194">
        <v>600</v>
      </c>
      <c r="BJ44" s="268"/>
      <c r="BK44" s="3" t="s">
        <v>99</v>
      </c>
      <c r="BL44" s="3"/>
    </row>
    <row r="45" spans="1:64" ht="23" hidden="1" customHeight="1" x14ac:dyDescent="0.35">
      <c r="A45" s="457">
        <v>1415</v>
      </c>
      <c r="B45" s="411" t="s">
        <v>268</v>
      </c>
      <c r="C45" s="457" t="s">
        <v>132</v>
      </c>
      <c r="D45" s="411"/>
      <c r="E45" s="411"/>
      <c r="F45" s="411">
        <v>310947561</v>
      </c>
      <c r="G45" s="411" t="s">
        <v>269</v>
      </c>
      <c r="H45" s="451" t="s">
        <v>270</v>
      </c>
      <c r="I45" s="473"/>
      <c r="J45" s="461" t="s">
        <v>60</v>
      </c>
      <c r="K45" s="452">
        <f>[12]Info!$C$14</f>
        <v>1</v>
      </c>
      <c r="L45" s="452" t="s">
        <v>73</v>
      </c>
      <c r="M45" s="459"/>
      <c r="N45" s="471"/>
      <c r="O45" s="462"/>
      <c r="P45" s="461"/>
      <c r="Q45" s="461"/>
      <c r="R45" s="461"/>
      <c r="S45" s="461"/>
      <c r="T45" s="461"/>
      <c r="U45" s="461"/>
      <c r="V45" s="461"/>
      <c r="W45" s="461"/>
      <c r="X45" s="463"/>
      <c r="Y45" s="463"/>
      <c r="Z45" s="464"/>
      <c r="AA45" s="464"/>
      <c r="AB45" s="465"/>
      <c r="AC45" s="553"/>
      <c r="AD45" s="491"/>
      <c r="AE45" s="450" t="s">
        <v>50</v>
      </c>
      <c r="AF45" s="450"/>
      <c r="AG45" s="480"/>
      <c r="AH45" s="307"/>
      <c r="AI45" s="450"/>
      <c r="AJ45" s="176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233"/>
      <c r="BB45" s="233"/>
      <c r="BC45" s="233"/>
      <c r="BD45" s="1"/>
      <c r="BE45" s="1"/>
      <c r="BF45" s="1"/>
      <c r="BG45" s="194" t="s">
        <v>73</v>
      </c>
      <c r="BH45" s="253">
        <v>100</v>
      </c>
      <c r="BI45" s="194">
        <v>100</v>
      </c>
      <c r="BJ45" s="529" t="s">
        <v>73</v>
      </c>
      <c r="BK45" s="3" t="s">
        <v>99</v>
      </c>
      <c r="BL45" s="3" t="s">
        <v>100</v>
      </c>
    </row>
    <row r="46" spans="1:64" ht="23" hidden="1" customHeight="1" x14ac:dyDescent="0.35">
      <c r="A46" s="457">
        <v>1423</v>
      </c>
      <c r="B46" s="411" t="s">
        <v>271</v>
      </c>
      <c r="C46" s="457" t="s">
        <v>81</v>
      </c>
      <c r="D46" s="411"/>
      <c r="E46" s="411"/>
      <c r="F46" s="411" t="s">
        <v>272</v>
      </c>
      <c r="G46" s="411" t="s">
        <v>273</v>
      </c>
      <c r="H46" s="451" t="s">
        <v>274</v>
      </c>
      <c r="I46" s="473"/>
      <c r="J46" s="461" t="s">
        <v>60</v>
      </c>
      <c r="K46" s="452">
        <f>[13]Info!$C$8</f>
        <v>1</v>
      </c>
      <c r="L46" s="452" t="s">
        <v>73</v>
      </c>
      <c r="M46" s="459"/>
      <c r="N46" s="471"/>
      <c r="O46" s="462"/>
      <c r="P46" s="461"/>
      <c r="Q46" s="461"/>
      <c r="R46" s="461"/>
      <c r="S46" s="461"/>
      <c r="T46" s="461"/>
      <c r="U46" s="461"/>
      <c r="V46" s="461"/>
      <c r="W46" s="461"/>
      <c r="X46" s="463"/>
      <c r="Y46" s="463"/>
      <c r="Z46" s="464"/>
      <c r="AA46" s="464"/>
      <c r="AB46" s="465"/>
      <c r="AC46" s="553"/>
      <c r="AD46" s="491"/>
      <c r="AE46" s="450" t="s">
        <v>50</v>
      </c>
      <c r="AF46" s="450"/>
      <c r="AG46" s="480"/>
      <c r="AH46" s="307"/>
      <c r="AI46" s="450"/>
      <c r="AJ46" s="176"/>
      <c r="AK46" s="1"/>
      <c r="AL46" s="1"/>
      <c r="AM46" s="1"/>
      <c r="AN46" s="1"/>
      <c r="AO46" s="1" t="s">
        <v>51</v>
      </c>
      <c r="AP46" s="1"/>
      <c r="AQ46" s="1" t="s">
        <v>51</v>
      </c>
      <c r="AR46" s="1"/>
      <c r="AS46" s="1"/>
      <c r="AT46" s="1"/>
      <c r="AU46" s="1"/>
      <c r="AV46" s="1"/>
      <c r="AW46" s="1"/>
      <c r="AX46" s="1"/>
      <c r="AY46" s="1"/>
      <c r="AZ46" s="1"/>
      <c r="BA46" s="233"/>
      <c r="BB46" s="233"/>
      <c r="BC46" s="233"/>
      <c r="BD46" s="1"/>
      <c r="BE46" s="1"/>
      <c r="BF46" s="1"/>
      <c r="BG46" s="194" t="s">
        <v>73</v>
      </c>
      <c r="BH46" s="253">
        <v>500</v>
      </c>
      <c r="BI46" s="194" t="s">
        <v>230</v>
      </c>
      <c r="BJ46" s="529" t="s">
        <v>73</v>
      </c>
      <c r="BK46" s="3" t="s">
        <v>239</v>
      </c>
      <c r="BL46" s="3"/>
    </row>
    <row r="47" spans="1:64" ht="23" hidden="1" customHeight="1" x14ac:dyDescent="0.35">
      <c r="A47" s="457">
        <v>1441</v>
      </c>
      <c r="B47" s="411" t="s">
        <v>275</v>
      </c>
      <c r="C47" s="548" t="s">
        <v>45</v>
      </c>
      <c r="D47" s="548"/>
      <c r="E47" s="411"/>
      <c r="F47" s="470" t="s">
        <v>276</v>
      </c>
      <c r="G47" s="470" t="s">
        <v>277</v>
      </c>
      <c r="H47" s="451" t="s">
        <v>278</v>
      </c>
      <c r="I47" s="473"/>
      <c r="J47" s="461" t="s">
        <v>49</v>
      </c>
      <c r="K47" s="452">
        <v>0.1</v>
      </c>
      <c r="L47" s="452" t="s">
        <v>73</v>
      </c>
      <c r="M47" s="459"/>
      <c r="N47" s="478"/>
      <c r="O47" s="462"/>
      <c r="P47" s="472" t="s">
        <v>279</v>
      </c>
      <c r="Q47" s="472">
        <v>314090070</v>
      </c>
      <c r="R47" s="461" t="s">
        <v>112</v>
      </c>
      <c r="S47" s="461"/>
      <c r="T47" s="461"/>
      <c r="U47" s="461"/>
      <c r="V47" s="461"/>
      <c r="W47" s="472"/>
      <c r="X47" s="463"/>
      <c r="Y47" s="463"/>
      <c r="Z47" s="482"/>
      <c r="AA47" s="482"/>
      <c r="AB47" s="474"/>
      <c r="AC47" s="474"/>
      <c r="AD47" s="491"/>
      <c r="AE47" s="450" t="s">
        <v>50</v>
      </c>
      <c r="AF47" s="450"/>
      <c r="AG47" s="307"/>
      <c r="AH47" s="302"/>
      <c r="AI47" s="491"/>
      <c r="AJ47" s="20"/>
      <c r="AK47" s="1"/>
      <c r="AL47" s="1"/>
      <c r="AM47" s="1"/>
      <c r="AN47" s="1"/>
      <c r="AO47" s="1" t="s">
        <v>51</v>
      </c>
      <c r="AP47" s="1"/>
      <c r="AQ47" s="1" t="s">
        <v>51</v>
      </c>
      <c r="AR47" s="1"/>
      <c r="AS47" s="1"/>
      <c r="AT47" s="1"/>
      <c r="AU47" s="1"/>
      <c r="AV47" s="1"/>
      <c r="AW47" s="1"/>
      <c r="AX47" s="1"/>
      <c r="AY47" s="1"/>
      <c r="AZ47" s="1"/>
      <c r="BA47" s="233"/>
      <c r="BB47" s="233"/>
      <c r="BC47" s="233"/>
      <c r="BD47" s="1"/>
      <c r="BE47" s="1"/>
      <c r="BF47" s="1"/>
      <c r="BG47" s="286"/>
      <c r="BH47" s="257">
        <v>500</v>
      </c>
      <c r="BI47" s="194"/>
      <c r="BJ47" s="257"/>
      <c r="BK47" s="3"/>
      <c r="BL47" s="3"/>
    </row>
    <row r="48" spans="1:64" ht="23" hidden="1" customHeight="1" x14ac:dyDescent="0.35">
      <c r="A48" s="301" t="s">
        <v>280</v>
      </c>
      <c r="B48" s="411" t="s">
        <v>281</v>
      </c>
      <c r="C48" s="657" t="s">
        <v>282</v>
      </c>
      <c r="D48" s="548"/>
      <c r="E48" s="411"/>
      <c r="F48" s="411" t="s">
        <v>283</v>
      </c>
      <c r="G48" s="411" t="s">
        <v>284</v>
      </c>
      <c r="H48" s="451"/>
      <c r="I48" s="473"/>
      <c r="J48" s="461"/>
      <c r="K48" s="452">
        <v>0</v>
      </c>
      <c r="L48" s="452"/>
      <c r="M48" s="459"/>
      <c r="N48" s="478"/>
      <c r="O48" s="462"/>
      <c r="P48" s="472"/>
      <c r="Q48" s="472"/>
      <c r="R48" s="461"/>
      <c r="S48" s="461"/>
      <c r="T48" s="461"/>
      <c r="U48" s="461"/>
      <c r="V48" s="461"/>
      <c r="W48" s="472"/>
      <c r="X48" s="463"/>
      <c r="Y48" s="463"/>
      <c r="Z48" s="482"/>
      <c r="AA48" s="482"/>
      <c r="AB48" s="474"/>
      <c r="AC48" s="474"/>
      <c r="AD48" s="491"/>
      <c r="AE48" s="450"/>
      <c r="AF48" s="450"/>
      <c r="AG48" s="307"/>
      <c r="AH48" s="302"/>
      <c r="AI48" s="491"/>
      <c r="AJ48" s="20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233"/>
      <c r="BB48" s="233"/>
      <c r="BC48" s="233"/>
      <c r="BD48" s="1"/>
      <c r="BE48" s="1"/>
      <c r="BF48" s="1"/>
      <c r="BG48" s="286"/>
      <c r="BH48" s="257">
        <v>500</v>
      </c>
      <c r="BI48" s="194" t="s">
        <v>285</v>
      </c>
      <c r="BJ48" s="257"/>
      <c r="BK48" s="3"/>
      <c r="BL48" s="3"/>
    </row>
    <row r="49" spans="1:64" s="655" customFormat="1" ht="23" customHeight="1" x14ac:dyDescent="0.35">
      <c r="A49" s="457">
        <v>1463</v>
      </c>
      <c r="B49" s="630" t="s">
        <v>286</v>
      </c>
      <c r="C49" s="629" t="s">
        <v>81</v>
      </c>
      <c r="D49" s="630"/>
      <c r="E49" s="630"/>
      <c r="F49" s="630" t="s">
        <v>287</v>
      </c>
      <c r="G49" s="630" t="s">
        <v>288</v>
      </c>
      <c r="H49" s="631" t="s">
        <v>289</v>
      </c>
      <c r="I49" s="632"/>
      <c r="J49" s="633" t="s">
        <v>121</v>
      </c>
      <c r="K49" s="634">
        <v>0.99</v>
      </c>
      <c r="L49" s="634" t="s">
        <v>73</v>
      </c>
      <c r="M49" s="635"/>
      <c r="N49" s="636"/>
      <c r="O49" s="637"/>
      <c r="P49" s="638"/>
      <c r="Q49" s="638"/>
      <c r="R49" s="636"/>
      <c r="S49" s="636"/>
      <c r="T49" s="636"/>
      <c r="U49" s="636"/>
      <c r="V49" s="636"/>
      <c r="W49" s="638"/>
      <c r="X49" s="639"/>
      <c r="Y49" s="639"/>
      <c r="Z49" s="640"/>
      <c r="AA49" s="640"/>
      <c r="AB49" s="641" t="s">
        <v>290</v>
      </c>
      <c r="AC49" s="642"/>
      <c r="AD49" s="643"/>
      <c r="AE49" s="644" t="s">
        <v>50</v>
      </c>
      <c r="AF49" s="644"/>
      <c r="AG49" s="645"/>
      <c r="AH49" s="646"/>
      <c r="AI49" s="647"/>
      <c r="AJ49" s="648"/>
      <c r="AK49" s="648"/>
      <c r="AL49" s="648"/>
      <c r="AM49" s="648"/>
      <c r="AN49" s="648"/>
      <c r="AO49" s="648" t="s">
        <v>51</v>
      </c>
      <c r="AP49" s="648"/>
      <c r="AQ49" s="648" t="s">
        <v>51</v>
      </c>
      <c r="AR49" s="648"/>
      <c r="AS49" s="648"/>
      <c r="AT49" s="648"/>
      <c r="AU49" s="648"/>
      <c r="AV49" s="648"/>
      <c r="AW49" s="648"/>
      <c r="AX49" s="648"/>
      <c r="AY49" s="648"/>
      <c r="AZ49" s="648"/>
      <c r="BA49" s="649"/>
      <c r="BB49" s="649"/>
      <c r="BC49" s="649"/>
      <c r="BD49" s="648"/>
      <c r="BE49" s="648"/>
      <c r="BF49" s="648"/>
      <c r="BG49" s="650" t="s">
        <v>73</v>
      </c>
      <c r="BH49" s="651">
        <v>350</v>
      </c>
      <c r="BI49" s="652">
        <v>700</v>
      </c>
      <c r="BJ49" s="653" t="s">
        <v>73</v>
      </c>
      <c r="BK49" s="654" t="s">
        <v>99</v>
      </c>
      <c r="BL49" s="654" t="s">
        <v>100</v>
      </c>
    </row>
    <row r="50" spans="1:64" ht="23" hidden="1" customHeight="1" x14ac:dyDescent="0.35">
      <c r="A50" s="457">
        <v>1466</v>
      </c>
      <c r="B50" s="411" t="s">
        <v>291</v>
      </c>
      <c r="C50" s="548" t="s">
        <v>1090</v>
      </c>
      <c r="D50" s="547"/>
      <c r="E50" s="411"/>
      <c r="F50" s="411">
        <v>309997917</v>
      </c>
      <c r="G50" s="411" t="s">
        <v>112</v>
      </c>
      <c r="H50" s="451" t="s">
        <v>292</v>
      </c>
      <c r="I50" s="458"/>
      <c r="J50" s="466"/>
      <c r="K50" s="452">
        <v>0.05</v>
      </c>
      <c r="L50" s="452" t="s">
        <v>73</v>
      </c>
      <c r="N50" s="478"/>
      <c r="O50" s="462"/>
      <c r="P50" s="460"/>
      <c r="Q50" s="460"/>
      <c r="R50" s="461"/>
      <c r="S50" s="461"/>
      <c r="T50" s="461"/>
      <c r="U50" s="461"/>
      <c r="V50" s="461"/>
      <c r="W50" s="460" t="s">
        <v>51</v>
      </c>
      <c r="X50" s="463"/>
      <c r="Y50" s="463"/>
      <c r="Z50" s="464"/>
      <c r="AA50" s="464"/>
      <c r="AB50" s="465"/>
      <c r="AC50" s="554"/>
      <c r="AD50" s="491"/>
      <c r="AE50" s="450" t="s">
        <v>50</v>
      </c>
      <c r="AF50" s="450"/>
      <c r="AG50" s="307"/>
      <c r="AH50" s="302"/>
      <c r="AI50" s="42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233"/>
      <c r="BB50" s="233"/>
      <c r="BC50" s="233"/>
      <c r="BD50" s="1"/>
      <c r="BE50" s="1"/>
      <c r="BF50" s="1"/>
      <c r="BG50" s="26" t="s">
        <v>73</v>
      </c>
      <c r="BH50" s="253">
        <v>500</v>
      </c>
      <c r="BI50" s="194">
        <v>600</v>
      </c>
      <c r="BJ50" s="3" t="s">
        <v>73</v>
      </c>
      <c r="BK50" s="3" t="s">
        <v>99</v>
      </c>
      <c r="BL50" s="3" t="s">
        <v>100</v>
      </c>
    </row>
    <row r="51" spans="1:64" ht="23" hidden="1" customHeight="1" x14ac:dyDescent="0.35">
      <c r="A51" s="659">
        <v>1468</v>
      </c>
      <c r="B51" s="660" t="s">
        <v>293</v>
      </c>
      <c r="C51" s="661" t="s">
        <v>66</v>
      </c>
      <c r="D51" s="662" t="s">
        <v>13</v>
      </c>
      <c r="E51" s="660"/>
      <c r="F51" s="660" t="s">
        <v>294</v>
      </c>
      <c r="G51" s="660" t="s">
        <v>112</v>
      </c>
      <c r="H51" s="663" t="s">
        <v>295</v>
      </c>
      <c r="I51" s="664"/>
      <c r="J51" s="665"/>
      <c r="K51" s="666">
        <v>0</v>
      </c>
      <c r="L51" s="666" t="s">
        <v>266</v>
      </c>
      <c r="M51" s="667"/>
      <c r="N51" s="717" t="s">
        <v>182</v>
      </c>
      <c r="O51" s="669">
        <v>46175</v>
      </c>
      <c r="P51" s="670" t="s">
        <v>296</v>
      </c>
      <c r="Q51" s="671" t="s">
        <v>297</v>
      </c>
      <c r="R51" s="668" t="s">
        <v>298</v>
      </c>
      <c r="S51" s="668"/>
      <c r="T51" s="668"/>
      <c r="U51" s="668"/>
      <c r="V51" s="668"/>
      <c r="W51" s="670"/>
      <c r="X51" s="672"/>
      <c r="Y51" s="672"/>
      <c r="Z51" s="673"/>
      <c r="AA51" s="673"/>
      <c r="AB51" s="674"/>
      <c r="AC51" s="675"/>
      <c r="AD51" s="676"/>
      <c r="AE51" s="677" t="s">
        <v>50</v>
      </c>
      <c r="AF51" s="677"/>
      <c r="AG51" s="678"/>
      <c r="AH51" s="679"/>
      <c r="AI51" s="680"/>
      <c r="AJ51" s="681"/>
      <c r="AK51" s="681"/>
      <c r="AL51" s="681"/>
      <c r="AM51" s="681"/>
      <c r="AN51" s="681"/>
      <c r="AO51" s="681" t="s">
        <v>51</v>
      </c>
      <c r="AP51" s="681"/>
      <c r="AQ51" s="681" t="s">
        <v>51</v>
      </c>
      <c r="AR51" s="681"/>
      <c r="AS51" s="681"/>
      <c r="AT51" s="681"/>
      <c r="AU51" s="681"/>
      <c r="AV51" s="681"/>
      <c r="AW51" s="681"/>
      <c r="AX51" s="681"/>
      <c r="AY51" s="681"/>
      <c r="AZ51" s="681"/>
      <c r="BA51" s="682"/>
      <c r="BB51" s="682"/>
      <c r="BC51" s="682"/>
      <c r="BD51" s="681"/>
      <c r="BE51" s="681"/>
      <c r="BF51" s="681"/>
      <c r="BG51" s="683"/>
      <c r="BH51" s="684" t="s">
        <v>299</v>
      </c>
      <c r="BI51" s="685" t="s">
        <v>285</v>
      </c>
      <c r="BJ51" s="686"/>
      <c r="BK51" s="687"/>
      <c r="BL51" s="687"/>
    </row>
    <row r="52" spans="1:64" ht="23" customHeight="1" x14ac:dyDescent="0.35">
      <c r="A52" s="457">
        <v>1471</v>
      </c>
      <c r="B52" s="457" t="s">
        <v>300</v>
      </c>
      <c r="C52" s="501" t="s">
        <v>118</v>
      </c>
      <c r="D52" s="548" t="s">
        <v>57</v>
      </c>
      <c r="E52" s="457"/>
      <c r="F52" s="457" t="s">
        <v>301</v>
      </c>
      <c r="G52" s="457" t="s">
        <v>302</v>
      </c>
      <c r="H52" s="467" t="s">
        <v>303</v>
      </c>
      <c r="I52" s="467"/>
      <c r="J52" s="467" t="s">
        <v>60</v>
      </c>
      <c r="K52" s="600">
        <v>0.99</v>
      </c>
      <c r="L52" s="467" t="s">
        <v>304</v>
      </c>
      <c r="M52" s="468"/>
      <c r="N52" s="467"/>
      <c r="O52" s="467"/>
      <c r="P52" s="467"/>
      <c r="Q52" s="467">
        <v>287536726</v>
      </c>
      <c r="R52" s="467"/>
      <c r="S52" s="467"/>
      <c r="T52" s="467"/>
      <c r="U52" s="467"/>
      <c r="V52" s="467"/>
      <c r="W52" s="467"/>
      <c r="X52" s="467"/>
      <c r="Y52" s="467"/>
      <c r="Z52" s="42"/>
      <c r="AA52" s="42"/>
      <c r="AB52" s="469"/>
      <c r="AC52" s="555"/>
      <c r="AD52" s="491"/>
      <c r="AE52" s="450" t="s">
        <v>50</v>
      </c>
      <c r="AF52" s="450"/>
      <c r="AG52" s="501"/>
      <c r="AH52" s="307"/>
      <c r="AI52" s="4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233"/>
      <c r="BB52" s="233"/>
      <c r="BC52" s="233"/>
      <c r="BD52" s="1"/>
      <c r="BE52" s="1"/>
      <c r="BF52" s="1"/>
      <c r="BG52" s="519"/>
      <c r="BH52" s="253">
        <v>800</v>
      </c>
      <c r="BI52" s="194"/>
      <c r="BJ52" s="26"/>
      <c r="BK52" s="3"/>
      <c r="BL52" s="3"/>
    </row>
    <row r="53" spans="1:64" ht="23" customHeight="1" x14ac:dyDescent="0.35">
      <c r="A53" s="457">
        <v>1472</v>
      </c>
      <c r="B53" s="411" t="s">
        <v>305</v>
      </c>
      <c r="C53" s="547" t="s">
        <v>66</v>
      </c>
      <c r="D53" s="547"/>
      <c r="E53" s="411"/>
      <c r="F53" s="470" t="s">
        <v>306</v>
      </c>
      <c r="G53" s="470" t="s">
        <v>307</v>
      </c>
      <c r="H53" s="451" t="s">
        <v>308</v>
      </c>
      <c r="I53" s="458"/>
      <c r="J53" s="445" t="s">
        <v>60</v>
      </c>
      <c r="K53" s="600">
        <v>0.99</v>
      </c>
      <c r="L53" s="452" t="s">
        <v>309</v>
      </c>
      <c r="M53" s="459"/>
      <c r="N53" s="472"/>
      <c r="O53" s="462"/>
      <c r="P53" s="445"/>
      <c r="Q53" s="471"/>
      <c r="R53" s="471"/>
      <c r="S53" s="471"/>
      <c r="T53" s="471"/>
      <c r="U53" s="471"/>
      <c r="V53" s="471"/>
      <c r="W53" s="461" t="s">
        <v>182</v>
      </c>
      <c r="X53" s="463"/>
      <c r="Y53" s="463"/>
      <c r="Z53" s="464"/>
      <c r="AA53" s="464"/>
      <c r="AB53" s="465"/>
      <c r="AC53" s="554"/>
      <c r="AD53" s="491"/>
      <c r="AE53" s="450" t="s">
        <v>50</v>
      </c>
      <c r="AF53" s="450"/>
      <c r="AG53" s="517"/>
      <c r="AH53" s="307"/>
      <c r="AI53" s="42"/>
      <c r="AJ53" s="1"/>
      <c r="AK53" s="1" t="s">
        <v>51</v>
      </c>
      <c r="AL53" s="1"/>
      <c r="AM53" s="1"/>
      <c r="AN53" s="1"/>
      <c r="AO53" s="1"/>
      <c r="AP53" s="1"/>
      <c r="AQ53" s="1" t="s">
        <v>51</v>
      </c>
      <c r="AR53" s="1"/>
      <c r="AS53" s="1"/>
      <c r="AT53" s="1"/>
      <c r="AU53" s="1"/>
      <c r="AV53" s="1"/>
      <c r="AW53" s="1"/>
      <c r="AX53" s="1"/>
      <c r="AY53" s="1"/>
      <c r="AZ53" s="1"/>
      <c r="BA53" s="233"/>
      <c r="BB53" s="233"/>
      <c r="BC53" s="233"/>
      <c r="BD53" s="1"/>
      <c r="BE53" s="1"/>
      <c r="BF53" s="1"/>
      <c r="BG53" s="19"/>
      <c r="BH53" s="253">
        <v>500</v>
      </c>
      <c r="BI53" s="194" t="s">
        <v>285</v>
      </c>
      <c r="BJ53" s="19"/>
      <c r="BK53" s="3"/>
      <c r="BL53" s="3"/>
    </row>
    <row r="54" spans="1:64" ht="23" hidden="1" customHeight="1" x14ac:dyDescent="0.35">
      <c r="A54" s="457">
        <v>1482</v>
      </c>
      <c r="B54" s="411" t="s">
        <v>310</v>
      </c>
      <c r="C54" s="546" t="s">
        <v>132</v>
      </c>
      <c r="D54" s="546"/>
      <c r="E54" s="411"/>
      <c r="F54" s="470" t="s">
        <v>311</v>
      </c>
      <c r="G54" s="470" t="s">
        <v>312</v>
      </c>
      <c r="H54" s="451" t="s">
        <v>313</v>
      </c>
      <c r="I54" s="458"/>
      <c r="J54" s="445" t="s">
        <v>49</v>
      </c>
      <c r="K54" s="452">
        <f>[14]Info!$C$14</f>
        <v>0.15</v>
      </c>
      <c r="L54" s="452" t="s">
        <v>73</v>
      </c>
      <c r="M54" s="459"/>
      <c r="N54" s="472"/>
      <c r="O54" s="462"/>
      <c r="P54" s="445" t="s">
        <v>314</v>
      </c>
      <c r="Q54" s="471">
        <v>316597503</v>
      </c>
      <c r="R54" s="471" t="s">
        <v>315</v>
      </c>
      <c r="S54" s="471"/>
      <c r="T54" s="471"/>
      <c r="U54" s="471"/>
      <c r="V54" s="471"/>
      <c r="W54" s="461"/>
      <c r="X54" s="463"/>
      <c r="Y54" s="463"/>
      <c r="Z54" s="464"/>
      <c r="AA54" s="464"/>
      <c r="AB54" s="469"/>
      <c r="AC54" s="554"/>
      <c r="AD54" s="491"/>
      <c r="AE54" s="450" t="s">
        <v>50</v>
      </c>
      <c r="AF54" s="450"/>
      <c r="AG54" s="517"/>
      <c r="AH54" s="307"/>
      <c r="AI54" s="42"/>
      <c r="AJ54" s="1"/>
      <c r="AK54" s="1"/>
      <c r="AL54" s="1"/>
      <c r="AM54" s="1"/>
      <c r="AN54" s="1"/>
      <c r="AO54" s="1" t="s">
        <v>51</v>
      </c>
      <c r="AP54" s="1"/>
      <c r="AQ54" s="1" t="s">
        <v>51</v>
      </c>
      <c r="AR54" s="1"/>
      <c r="AS54" s="1"/>
      <c r="AT54" s="1"/>
      <c r="AU54" s="1"/>
      <c r="AV54" s="1"/>
      <c r="AW54" s="1"/>
      <c r="AX54" s="1"/>
      <c r="AY54" s="1"/>
      <c r="AZ54" s="1"/>
      <c r="BA54" s="233"/>
      <c r="BB54" s="233"/>
      <c r="BC54" s="233"/>
      <c r="BD54" s="1"/>
      <c r="BE54" s="1"/>
      <c r="BF54" s="1"/>
      <c r="BG54" s="19"/>
      <c r="BH54" s="253">
        <v>800</v>
      </c>
      <c r="BI54" s="194">
        <v>900</v>
      </c>
      <c r="BJ54" s="19"/>
      <c r="BK54" s="3"/>
      <c r="BL54" s="3"/>
    </row>
    <row r="55" spans="1:64" ht="23" hidden="1" customHeight="1" x14ac:dyDescent="0.35">
      <c r="A55" s="457">
        <v>1491</v>
      </c>
      <c r="B55" s="411" t="s">
        <v>316</v>
      </c>
      <c r="C55" s="546" t="s">
        <v>132</v>
      </c>
      <c r="D55" s="546"/>
      <c r="E55" s="411"/>
      <c r="F55" s="470" t="s">
        <v>317</v>
      </c>
      <c r="G55" s="470" t="s">
        <v>318</v>
      </c>
      <c r="H55" s="451" t="s">
        <v>319</v>
      </c>
      <c r="I55" s="458"/>
      <c r="J55" s="445" t="s">
        <v>121</v>
      </c>
      <c r="K55" s="452">
        <v>0.5</v>
      </c>
      <c r="L55" s="452" t="s">
        <v>73</v>
      </c>
      <c r="M55" s="459"/>
      <c r="N55" s="472"/>
      <c r="O55" s="462"/>
      <c r="P55" s="445" t="s">
        <v>320</v>
      </c>
      <c r="Q55" s="471" t="s">
        <v>321</v>
      </c>
      <c r="R55" s="471"/>
      <c r="S55" s="471" t="s">
        <v>322</v>
      </c>
      <c r="T55" s="471" t="s">
        <v>323</v>
      </c>
      <c r="U55" s="628" t="s">
        <v>324</v>
      </c>
      <c r="V55" s="471" t="s">
        <v>325</v>
      </c>
      <c r="W55" s="461"/>
      <c r="X55" s="463"/>
      <c r="Y55" s="463"/>
      <c r="Z55" s="464"/>
      <c r="AA55" s="464"/>
      <c r="AB55" s="469"/>
      <c r="AC55" s="554"/>
      <c r="AD55" s="491"/>
      <c r="AE55" s="450" t="s">
        <v>50</v>
      </c>
      <c r="AF55" s="450"/>
      <c r="AG55" s="517"/>
      <c r="AH55" s="307"/>
      <c r="AI55" s="42"/>
      <c r="AJ55" s="1"/>
      <c r="AK55" s="1"/>
      <c r="AL55" s="1" t="s">
        <v>51</v>
      </c>
      <c r="AM55" s="1"/>
      <c r="AN55" s="1"/>
      <c r="AO55" s="1"/>
      <c r="AP55" s="1"/>
      <c r="AQ55" s="1" t="s">
        <v>51</v>
      </c>
      <c r="AR55" s="1"/>
      <c r="AS55" s="1"/>
      <c r="AT55" s="1"/>
      <c r="AU55" s="1"/>
      <c r="AV55" s="1"/>
      <c r="AW55" s="1"/>
      <c r="AX55" s="1"/>
      <c r="AY55" s="1"/>
      <c r="AZ55" s="1"/>
      <c r="BA55" s="233"/>
      <c r="BB55" s="233"/>
      <c r="BC55" s="233"/>
      <c r="BD55" s="1"/>
      <c r="BE55" s="1"/>
      <c r="BF55" s="1"/>
      <c r="BG55" s="19"/>
      <c r="BH55" s="253">
        <v>500</v>
      </c>
      <c r="BI55" s="194">
        <v>600</v>
      </c>
      <c r="BJ55" s="19"/>
      <c r="BK55" s="3"/>
      <c r="BL55" s="3"/>
    </row>
    <row r="56" spans="1:64" ht="23" hidden="1" customHeight="1" x14ac:dyDescent="0.35">
      <c r="A56" s="457">
        <v>1493</v>
      </c>
      <c r="B56" s="411" t="s">
        <v>326</v>
      </c>
      <c r="C56" s="546" t="s">
        <v>132</v>
      </c>
      <c r="D56" s="546"/>
      <c r="E56" s="411"/>
      <c r="F56" s="411" t="s">
        <v>327</v>
      </c>
      <c r="G56" s="411" t="s">
        <v>328</v>
      </c>
      <c r="H56" s="451" t="s">
        <v>329</v>
      </c>
      <c r="I56" s="466"/>
      <c r="J56" s="447" t="s">
        <v>49</v>
      </c>
      <c r="K56" s="452">
        <f>[15]Info!$C$14</f>
        <v>1</v>
      </c>
      <c r="L56" s="452"/>
      <c r="M56" s="506">
        <v>46183</v>
      </c>
      <c r="N56" s="471"/>
      <c r="O56" s="462"/>
      <c r="P56" s="445"/>
      <c r="Q56" s="472"/>
      <c r="R56" s="461"/>
      <c r="S56" s="461"/>
      <c r="T56" s="461"/>
      <c r="U56" s="461"/>
      <c r="V56" s="461"/>
      <c r="W56" s="461"/>
      <c r="X56" s="463"/>
      <c r="Y56" s="463"/>
      <c r="Z56" s="464"/>
      <c r="AA56" s="464"/>
      <c r="AB56" s="465"/>
      <c r="AC56" s="554"/>
      <c r="AD56" s="491"/>
      <c r="AE56" s="450" t="s">
        <v>50</v>
      </c>
      <c r="AF56" s="450"/>
      <c r="AG56" s="517"/>
      <c r="AH56" s="307"/>
      <c r="AI56" s="42"/>
      <c r="AJ56" s="1"/>
      <c r="AK56" s="1"/>
      <c r="AL56" s="1"/>
      <c r="AM56" s="1"/>
      <c r="AN56" s="1"/>
      <c r="AO56" s="1" t="s">
        <v>51</v>
      </c>
      <c r="AP56" s="1"/>
      <c r="AQ56" s="1" t="s">
        <v>51</v>
      </c>
      <c r="AR56" s="1"/>
      <c r="AS56" s="1"/>
      <c r="AT56" s="1"/>
      <c r="AU56" s="1"/>
      <c r="AV56" s="1"/>
      <c r="AW56" s="1"/>
      <c r="AX56" s="1"/>
      <c r="AY56" s="1"/>
      <c r="AZ56" s="1"/>
      <c r="BA56" s="233"/>
      <c r="BB56" s="233"/>
      <c r="BC56" s="233"/>
      <c r="BD56" s="1"/>
      <c r="BE56" s="1"/>
      <c r="BF56" s="1"/>
      <c r="BG56" s="19"/>
      <c r="BH56" s="253">
        <v>500</v>
      </c>
      <c r="BI56" s="194">
        <v>600</v>
      </c>
      <c r="BJ56" s="19"/>
      <c r="BK56" s="3"/>
      <c r="BL56" s="3"/>
    </row>
    <row r="57" spans="1:64" ht="23" hidden="1" customHeight="1" x14ac:dyDescent="0.35">
      <c r="A57" s="457">
        <v>1497</v>
      </c>
      <c r="B57" s="457" t="s">
        <v>330</v>
      </c>
      <c r="C57" s="547" t="s">
        <v>66</v>
      </c>
      <c r="D57" s="547"/>
      <c r="E57" s="457"/>
      <c r="F57" s="457" t="s">
        <v>331</v>
      </c>
      <c r="G57" s="457" t="s">
        <v>112</v>
      </c>
      <c r="H57" s="467" t="s">
        <v>332</v>
      </c>
      <c r="I57" s="467"/>
      <c r="J57" s="467"/>
      <c r="K57" s="452">
        <v>0</v>
      </c>
      <c r="L57" s="467" t="s">
        <v>333</v>
      </c>
      <c r="M57" s="468"/>
      <c r="N57" s="718"/>
      <c r="O57" s="467"/>
      <c r="P57" s="467"/>
      <c r="Q57" s="467"/>
      <c r="R57" s="467"/>
      <c r="S57" s="467"/>
      <c r="T57" s="467"/>
      <c r="U57" s="467"/>
      <c r="V57" s="467"/>
      <c r="W57" s="467"/>
      <c r="X57" s="467"/>
      <c r="Y57" s="467"/>
      <c r="Z57" s="464"/>
      <c r="AA57" s="464"/>
      <c r="AB57" s="465"/>
      <c r="AC57" s="474"/>
      <c r="AD57" s="491"/>
      <c r="AE57" s="450" t="s">
        <v>50</v>
      </c>
      <c r="AF57" s="450"/>
      <c r="AG57" s="517"/>
      <c r="AH57" s="307"/>
      <c r="AI57" s="42"/>
      <c r="AJ57" s="1"/>
      <c r="AK57" s="1"/>
      <c r="AL57" s="1"/>
      <c r="AM57" s="1"/>
      <c r="AN57" s="1"/>
      <c r="AO57" s="1" t="s">
        <v>51</v>
      </c>
      <c r="AP57" s="1"/>
      <c r="AQ57" s="1" t="s">
        <v>51</v>
      </c>
      <c r="AR57" s="1"/>
      <c r="AS57" s="1"/>
      <c r="AT57" s="1"/>
      <c r="AU57" s="1"/>
      <c r="AV57" s="1"/>
      <c r="AW57" s="1"/>
      <c r="AX57" s="1"/>
      <c r="AY57" s="1"/>
      <c r="AZ57" s="1"/>
      <c r="BA57" s="233"/>
      <c r="BB57" s="233"/>
      <c r="BC57" s="233"/>
      <c r="BD57" s="1"/>
      <c r="BE57" s="1"/>
      <c r="BF57" s="1"/>
      <c r="BG57" s="19"/>
      <c r="BH57" s="253">
        <v>500</v>
      </c>
      <c r="BI57" s="194" t="s">
        <v>285</v>
      </c>
      <c r="BJ57" s="19"/>
      <c r="BK57" s="3"/>
      <c r="BL57" s="3"/>
    </row>
    <row r="58" spans="1:64" ht="23" hidden="1" customHeight="1" x14ac:dyDescent="0.35">
      <c r="A58" s="457">
        <v>1499</v>
      </c>
      <c r="B58" s="457" t="s">
        <v>334</v>
      </c>
      <c r="C58" s="546" t="s">
        <v>132</v>
      </c>
      <c r="D58" s="546"/>
      <c r="E58" s="457"/>
      <c r="F58" s="457" t="s">
        <v>335</v>
      </c>
      <c r="G58" s="457" t="s">
        <v>336</v>
      </c>
      <c r="H58" s="467" t="s">
        <v>337</v>
      </c>
      <c r="I58" s="467"/>
      <c r="J58" s="467" t="s">
        <v>60</v>
      </c>
      <c r="K58" s="452">
        <v>0.7</v>
      </c>
      <c r="L58" s="467"/>
      <c r="M58" s="468"/>
      <c r="N58" s="467"/>
      <c r="O58" s="467"/>
      <c r="P58" s="467"/>
      <c r="Q58" s="467"/>
      <c r="R58" s="467"/>
      <c r="S58" s="467"/>
      <c r="T58" s="467"/>
      <c r="U58" s="467"/>
      <c r="V58" s="467"/>
      <c r="W58" s="467"/>
      <c r="X58" s="467"/>
      <c r="Y58" s="467"/>
      <c r="Z58" s="464"/>
      <c r="AA58" s="464"/>
      <c r="AB58" s="469"/>
      <c r="AC58" s="474"/>
      <c r="AD58" s="491"/>
      <c r="AE58" s="450" t="s">
        <v>50</v>
      </c>
      <c r="AF58" s="450"/>
      <c r="AG58" s="517"/>
      <c r="AH58" s="307"/>
      <c r="AI58" s="42"/>
      <c r="AJ58" s="1"/>
      <c r="AK58" s="1"/>
      <c r="AL58" s="1"/>
      <c r="AM58" s="1"/>
      <c r="AN58" s="1"/>
      <c r="AO58" s="1" t="s">
        <v>51</v>
      </c>
      <c r="AP58" s="1"/>
      <c r="AQ58" s="1" t="s">
        <v>51</v>
      </c>
      <c r="AR58" s="1"/>
      <c r="AS58" s="1"/>
      <c r="AT58" s="1"/>
      <c r="AU58" s="1"/>
      <c r="AV58" s="1"/>
      <c r="AW58" s="1"/>
      <c r="AX58" s="1"/>
      <c r="AY58" s="1"/>
      <c r="AZ58" s="1"/>
      <c r="BA58" s="233"/>
      <c r="BB58" s="233"/>
      <c r="BC58" s="233"/>
      <c r="BD58" s="1"/>
      <c r="BE58" s="1"/>
      <c r="BF58" s="1"/>
      <c r="BG58" s="268" t="s">
        <v>73</v>
      </c>
      <c r="BH58" s="253">
        <v>500</v>
      </c>
      <c r="BI58" s="194">
        <v>600</v>
      </c>
      <c r="BJ58" s="564" t="s">
        <v>73</v>
      </c>
      <c r="BK58" s="3" t="s">
        <v>74</v>
      </c>
      <c r="BL58" s="3"/>
    </row>
    <row r="59" spans="1:64" ht="23" hidden="1" customHeight="1" x14ac:dyDescent="0.35">
      <c r="A59" s="457">
        <v>1501</v>
      </c>
      <c r="B59" s="411" t="s">
        <v>338</v>
      </c>
      <c r="C59" s="546" t="s">
        <v>132</v>
      </c>
      <c r="D59" s="658" t="s">
        <v>339</v>
      </c>
      <c r="E59" s="411"/>
      <c r="F59" s="470" t="s">
        <v>340</v>
      </c>
      <c r="G59" s="470" t="s">
        <v>112</v>
      </c>
      <c r="H59" s="451" t="s">
        <v>341</v>
      </c>
      <c r="I59" s="473"/>
      <c r="J59" s="445" t="s">
        <v>49</v>
      </c>
      <c r="K59" s="452">
        <v>0</v>
      </c>
      <c r="L59" s="455"/>
      <c r="M59" s="459"/>
      <c r="N59" s="471"/>
      <c r="O59" s="462"/>
      <c r="P59" s="461"/>
      <c r="Q59" s="461">
        <v>312262094</v>
      </c>
      <c r="R59" s="461"/>
      <c r="S59" s="461"/>
      <c r="T59" s="461"/>
      <c r="U59" s="461"/>
      <c r="V59" s="461"/>
      <c r="W59" s="461"/>
      <c r="X59" s="463"/>
      <c r="Y59" s="463"/>
      <c r="Z59" s="42"/>
      <c r="AA59" s="42"/>
      <c r="AB59" s="474"/>
      <c r="AC59" s="474"/>
      <c r="AD59" s="491"/>
      <c r="AE59" s="450" t="s">
        <v>50</v>
      </c>
      <c r="AF59" s="450"/>
      <c r="AG59" s="522"/>
      <c r="AH59" s="307"/>
      <c r="AI59" s="42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233"/>
      <c r="BB59" s="233"/>
      <c r="BC59" s="233"/>
      <c r="BD59" s="1"/>
      <c r="BE59" s="1"/>
      <c r="BF59" s="1"/>
      <c r="BG59" s="19"/>
      <c r="BH59" s="253">
        <v>800</v>
      </c>
      <c r="BI59" s="194">
        <v>900</v>
      </c>
      <c r="BJ59" s="19"/>
      <c r="BK59" s="3"/>
      <c r="BL59" s="3"/>
    </row>
    <row r="60" spans="1:64" ht="23" hidden="1" customHeight="1" x14ac:dyDescent="0.35">
      <c r="A60" s="457">
        <v>1504</v>
      </c>
      <c r="B60" s="411" t="s">
        <v>342</v>
      </c>
      <c r="C60" s="546" t="s">
        <v>132</v>
      </c>
      <c r="D60" s="546"/>
      <c r="E60" s="411"/>
      <c r="F60" s="470" t="s">
        <v>343</v>
      </c>
      <c r="G60" s="470" t="s">
        <v>344</v>
      </c>
      <c r="H60" s="451" t="s">
        <v>345</v>
      </c>
      <c r="I60" s="462"/>
      <c r="J60" s="461" t="s">
        <v>49</v>
      </c>
      <c r="K60" s="452">
        <v>0</v>
      </c>
      <c r="L60" s="475"/>
      <c r="M60" s="459"/>
      <c r="N60" s="476"/>
      <c r="O60" s="477"/>
      <c r="P60" s="461" t="s">
        <v>346</v>
      </c>
      <c r="Q60" s="461" t="s">
        <v>347</v>
      </c>
      <c r="R60" s="461" t="s">
        <v>348</v>
      </c>
      <c r="S60" s="461"/>
      <c r="T60" s="461"/>
      <c r="U60" s="461"/>
      <c r="V60" s="461"/>
      <c r="W60" s="461"/>
      <c r="X60" s="472"/>
      <c r="Y60" s="472"/>
      <c r="Z60" s="42"/>
      <c r="AA60" s="42"/>
      <c r="AB60" s="469"/>
      <c r="AC60" s="469"/>
      <c r="AD60" s="512"/>
      <c r="AE60" s="450" t="s">
        <v>50</v>
      </c>
      <c r="AF60" s="450"/>
      <c r="AG60" s="449"/>
      <c r="AH60" s="307"/>
      <c r="AI60" s="42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233"/>
      <c r="BB60" s="233"/>
      <c r="BC60" s="233"/>
      <c r="BD60" s="1"/>
      <c r="BE60" s="1"/>
      <c r="BF60" s="1"/>
      <c r="BG60" s="259"/>
      <c r="BH60" s="33">
        <v>800</v>
      </c>
      <c r="BI60" s="194">
        <v>900</v>
      </c>
      <c r="BJ60" s="259"/>
      <c r="BK60" s="3"/>
      <c r="BL60" s="3"/>
    </row>
    <row r="61" spans="1:64" ht="23" hidden="1" customHeight="1" x14ac:dyDescent="0.35">
      <c r="A61" s="457">
        <v>1508</v>
      </c>
      <c r="B61" s="411" t="s">
        <v>349</v>
      </c>
      <c r="C61" s="546" t="s">
        <v>132</v>
      </c>
      <c r="D61" s="546"/>
      <c r="E61" s="411"/>
      <c r="F61" s="470" t="s">
        <v>350</v>
      </c>
      <c r="G61" s="470" t="s">
        <v>351</v>
      </c>
      <c r="H61" s="451" t="s">
        <v>352</v>
      </c>
      <c r="I61" s="473"/>
      <c r="J61" s="445" t="s">
        <v>121</v>
      </c>
      <c r="K61" s="600">
        <f>[16]Info!$C$14</f>
        <v>1</v>
      </c>
      <c r="L61" s="452"/>
      <c r="M61" s="459"/>
      <c r="N61" s="472"/>
      <c r="O61" s="462"/>
      <c r="P61" s="445"/>
      <c r="Q61" s="472"/>
      <c r="R61" s="461"/>
      <c r="S61" s="461"/>
      <c r="T61" s="461"/>
      <c r="U61" s="461"/>
      <c r="V61" s="461"/>
      <c r="W61" s="461"/>
      <c r="X61" s="463"/>
      <c r="Y61" s="463"/>
      <c r="Z61" s="464"/>
      <c r="AA61" s="464"/>
      <c r="AB61" s="465"/>
      <c r="AC61" s="554"/>
      <c r="AD61" s="491"/>
      <c r="AE61" s="450" t="s">
        <v>50</v>
      </c>
      <c r="AF61" s="450"/>
      <c r="AG61" s="517"/>
      <c r="AH61" s="307"/>
      <c r="AI61" s="42"/>
      <c r="AJ61" s="1"/>
      <c r="AK61" s="1"/>
      <c r="AL61" s="1"/>
      <c r="AM61" s="1"/>
      <c r="AN61" s="1"/>
      <c r="AO61" s="1" t="s">
        <v>51</v>
      </c>
      <c r="AP61" s="1"/>
      <c r="AQ61" s="1" t="s">
        <v>51</v>
      </c>
      <c r="AR61" s="1"/>
      <c r="AS61" s="1"/>
      <c r="AT61" s="1"/>
      <c r="AU61" s="1"/>
      <c r="AV61" s="1"/>
      <c r="AW61" s="1"/>
      <c r="AX61" s="1"/>
      <c r="AY61" s="1"/>
      <c r="AZ61" s="1"/>
      <c r="BA61" s="233"/>
      <c r="BB61" s="233"/>
      <c r="BC61" s="233"/>
      <c r="BD61" s="1"/>
      <c r="BE61" s="1"/>
      <c r="BF61" s="1"/>
      <c r="BG61" s="268"/>
      <c r="BH61" s="253">
        <v>500</v>
      </c>
      <c r="BI61" s="194">
        <v>600</v>
      </c>
      <c r="BJ61" s="19" t="s">
        <v>73</v>
      </c>
      <c r="BK61" s="3" t="s">
        <v>74</v>
      </c>
      <c r="BL61" s="3" t="s">
        <v>100</v>
      </c>
    </row>
    <row r="62" spans="1:64" ht="23" hidden="1" customHeight="1" x14ac:dyDescent="0.35">
      <c r="A62" s="457">
        <v>1510</v>
      </c>
      <c r="B62" s="411" t="s">
        <v>353</v>
      </c>
      <c r="C62" s="546" t="s">
        <v>132</v>
      </c>
      <c r="D62" s="546"/>
      <c r="E62" s="411"/>
      <c r="F62" s="411" t="s">
        <v>354</v>
      </c>
      <c r="G62" s="470" t="s">
        <v>355</v>
      </c>
      <c r="H62" s="461" t="s">
        <v>356</v>
      </c>
      <c r="I62" s="473"/>
      <c r="J62" s="461" t="s">
        <v>60</v>
      </c>
      <c r="K62" s="600">
        <f>[17]Info!$C$8</f>
        <v>1</v>
      </c>
      <c r="L62" s="452"/>
      <c r="M62" s="459">
        <v>46183</v>
      </c>
      <c r="N62" s="472"/>
      <c r="O62" s="462"/>
      <c r="P62" s="445"/>
      <c r="Q62" s="472"/>
      <c r="R62" s="461"/>
      <c r="S62" s="461"/>
      <c r="T62" s="461"/>
      <c r="U62" s="461"/>
      <c r="V62" s="461"/>
      <c r="W62" s="461"/>
      <c r="X62" s="463"/>
      <c r="Y62" s="463"/>
      <c r="Z62" s="42"/>
      <c r="AA62" s="42"/>
      <c r="AB62" s="465"/>
      <c r="AC62" s="465"/>
      <c r="AD62" s="491"/>
      <c r="AE62" s="450" t="s">
        <v>50</v>
      </c>
      <c r="AF62" s="450"/>
      <c r="AG62" s="517"/>
      <c r="AH62" s="307"/>
      <c r="AI62" s="42"/>
      <c r="AJ62" s="1"/>
      <c r="AK62" s="1"/>
      <c r="AL62" s="1"/>
      <c r="AM62" s="1"/>
      <c r="AN62" s="1" t="s">
        <v>51</v>
      </c>
      <c r="AO62" s="1" t="s">
        <v>51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233"/>
      <c r="BB62" s="233"/>
      <c r="BC62" s="233"/>
      <c r="BD62" s="1"/>
      <c r="BE62" s="1"/>
      <c r="BF62" s="1"/>
      <c r="BG62" s="268" t="s">
        <v>73</v>
      </c>
      <c r="BH62" s="253">
        <v>100</v>
      </c>
      <c r="BI62" s="194">
        <v>1</v>
      </c>
      <c r="BJ62" s="19" t="s">
        <v>73</v>
      </c>
      <c r="BK62" s="3" t="s">
        <v>74</v>
      </c>
      <c r="BL62" s="3" t="s">
        <v>100</v>
      </c>
    </row>
    <row r="63" spans="1:64" ht="23" hidden="1" customHeight="1" x14ac:dyDescent="0.35">
      <c r="A63" s="457">
        <v>1517</v>
      </c>
      <c r="B63" s="42" t="s">
        <v>357</v>
      </c>
      <c r="C63" s="457" t="s">
        <v>81</v>
      </c>
      <c r="D63" s="42"/>
      <c r="E63" s="411"/>
      <c r="F63" s="411">
        <v>292784619</v>
      </c>
      <c r="G63" s="470" t="s">
        <v>358</v>
      </c>
      <c r="H63" s="461" t="s">
        <v>359</v>
      </c>
      <c r="I63" s="473"/>
      <c r="J63" s="461"/>
      <c r="K63" s="452">
        <v>0.1</v>
      </c>
      <c r="L63" s="452"/>
      <c r="M63" s="459"/>
      <c r="N63" s="471"/>
      <c r="O63" s="462"/>
      <c r="P63" s="445"/>
      <c r="Q63" s="472"/>
      <c r="R63" s="461"/>
      <c r="S63" s="461"/>
      <c r="T63" s="461"/>
      <c r="U63" s="461"/>
      <c r="V63" s="461"/>
      <c r="W63" s="461"/>
      <c r="X63" s="463"/>
      <c r="Y63" s="463"/>
      <c r="Z63" s="464"/>
      <c r="AA63" s="464"/>
      <c r="AB63" s="469"/>
      <c r="AC63" s="554"/>
      <c r="AD63" s="491"/>
      <c r="AE63" s="450"/>
      <c r="AF63" s="450"/>
      <c r="AG63" s="517"/>
      <c r="AH63" s="307"/>
      <c r="AI63" s="42"/>
      <c r="AJ63" s="1"/>
      <c r="AK63" s="1"/>
      <c r="AL63" s="1"/>
      <c r="AM63" s="1"/>
      <c r="AN63" s="1"/>
      <c r="AO63" s="1" t="s">
        <v>51</v>
      </c>
      <c r="AP63" s="1"/>
      <c r="AQ63" s="1" t="s">
        <v>51</v>
      </c>
      <c r="AR63" s="1"/>
      <c r="AS63" s="1"/>
      <c r="AT63" s="1"/>
      <c r="AU63" s="1"/>
      <c r="AV63" s="1"/>
      <c r="AW63" s="1"/>
      <c r="AX63" s="1"/>
      <c r="AY63" s="1"/>
      <c r="AZ63" s="1"/>
      <c r="BA63" s="233"/>
      <c r="BB63" s="233"/>
      <c r="BC63" s="233"/>
      <c r="BD63" s="1"/>
      <c r="BE63" s="1"/>
      <c r="BF63" s="1"/>
      <c r="BG63" s="268"/>
      <c r="BH63" s="253">
        <v>500</v>
      </c>
      <c r="BI63" s="194" t="s">
        <v>285</v>
      </c>
      <c r="BJ63" s="19"/>
      <c r="BK63" s="3"/>
      <c r="BL63" s="3"/>
    </row>
    <row r="64" spans="1:64" ht="23" hidden="1" customHeight="1" x14ac:dyDescent="0.35">
      <c r="A64" s="457">
        <v>1520</v>
      </c>
      <c r="B64" s="411" t="s">
        <v>360</v>
      </c>
      <c r="C64" s="457" t="s">
        <v>81</v>
      </c>
      <c r="D64" s="407" t="s">
        <v>361</v>
      </c>
      <c r="E64" s="411"/>
      <c r="F64" s="411" t="s">
        <v>362</v>
      </c>
      <c r="G64" s="470" t="s">
        <v>363</v>
      </c>
      <c r="H64" s="461" t="s">
        <v>364</v>
      </c>
      <c r="I64" s="473"/>
      <c r="J64" s="461"/>
      <c r="K64" s="452">
        <v>0.1</v>
      </c>
      <c r="L64" s="452" t="s">
        <v>365</v>
      </c>
      <c r="M64" s="459"/>
      <c r="N64" s="471"/>
      <c r="O64" s="462"/>
      <c r="P64" s="445"/>
      <c r="Q64" s="472"/>
      <c r="R64" s="461"/>
      <c r="S64" s="461"/>
      <c r="T64" s="461"/>
      <c r="U64" s="461"/>
      <c r="V64" s="461"/>
      <c r="W64" s="461"/>
      <c r="X64" s="463"/>
      <c r="Y64" s="463"/>
      <c r="Z64" s="464"/>
      <c r="AA64" s="464"/>
      <c r="AB64" s="465"/>
      <c r="AC64" s="554"/>
      <c r="AD64" s="491"/>
      <c r="AE64" s="450" t="s">
        <v>50</v>
      </c>
      <c r="AF64" s="411"/>
      <c r="AG64" s="474"/>
      <c r="AH64" s="474"/>
      <c r="AI64" s="42"/>
      <c r="AJ64" s="1"/>
      <c r="AK64" s="1"/>
      <c r="AL64" s="1"/>
      <c r="AM64" s="1"/>
      <c r="AN64" s="1"/>
      <c r="AO64" s="1" t="s">
        <v>51</v>
      </c>
      <c r="AP64" s="1"/>
      <c r="AQ64" s="1" t="s">
        <v>51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 t="s">
        <v>73</v>
      </c>
      <c r="BH64" s="1">
        <v>500</v>
      </c>
      <c r="BI64" s="194" t="s">
        <v>285</v>
      </c>
      <c r="BJ64" s="1" t="s">
        <v>73</v>
      </c>
      <c r="BK64" s="3" t="s">
        <v>74</v>
      </c>
      <c r="BL64" s="3" t="s">
        <v>100</v>
      </c>
    </row>
    <row r="65" spans="1:16357" ht="23" hidden="1" customHeight="1" x14ac:dyDescent="0.35">
      <c r="A65" s="457">
        <v>1532</v>
      </c>
      <c r="B65" s="457" t="s">
        <v>366</v>
      </c>
      <c r="C65" s="546" t="s">
        <v>132</v>
      </c>
      <c r="D65" s="480"/>
      <c r="E65" s="457"/>
      <c r="F65" s="457" t="s">
        <v>367</v>
      </c>
      <c r="G65" s="457" t="s">
        <v>112</v>
      </c>
      <c r="H65" s="467" t="s">
        <v>368</v>
      </c>
      <c r="I65" s="467"/>
      <c r="J65" s="467" t="s">
        <v>60</v>
      </c>
      <c r="K65" s="452">
        <v>0.5</v>
      </c>
      <c r="L65" s="467"/>
      <c r="M65" s="468"/>
      <c r="N65" s="467"/>
      <c r="O65" s="467"/>
      <c r="P65" s="467"/>
      <c r="Q65" s="467"/>
      <c r="R65" s="467"/>
      <c r="S65" s="467"/>
      <c r="T65" s="467"/>
      <c r="U65" s="467"/>
      <c r="V65" s="467"/>
      <c r="W65" s="467"/>
      <c r="X65" s="467"/>
      <c r="Y65" s="467"/>
      <c r="Z65" s="464"/>
      <c r="AA65" s="464"/>
      <c r="AB65" s="465"/>
      <c r="AC65" s="474"/>
      <c r="AD65" s="491"/>
      <c r="AE65" s="450" t="s">
        <v>369</v>
      </c>
      <c r="AF65" s="450"/>
      <c r="AG65" s="501"/>
      <c r="AH65" s="302"/>
      <c r="AI65" s="491"/>
      <c r="AJ65" s="20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233"/>
      <c r="BB65" s="233"/>
      <c r="BC65" s="233"/>
      <c r="BD65" s="1"/>
      <c r="BE65" s="1"/>
      <c r="BF65" s="1"/>
      <c r="BG65" s="26" t="s">
        <v>73</v>
      </c>
      <c r="BH65" s="503" t="s">
        <v>299</v>
      </c>
      <c r="BI65" s="194" t="s">
        <v>230</v>
      </c>
      <c r="BJ65" s="26"/>
      <c r="BK65" s="3" t="s">
        <v>99</v>
      </c>
      <c r="BL65" s="3"/>
    </row>
    <row r="66" spans="1:16357" ht="23" hidden="1" customHeight="1" x14ac:dyDescent="0.35">
      <c r="A66" s="457">
        <v>1537</v>
      </c>
      <c r="B66" s="411" t="s">
        <v>370</v>
      </c>
      <c r="C66" s="709" t="s">
        <v>185</v>
      </c>
      <c r="D66" s="548" t="s">
        <v>57</v>
      </c>
      <c r="E66" s="411"/>
      <c r="F66" s="470">
        <v>309094054</v>
      </c>
      <c r="G66" s="470" t="s">
        <v>371</v>
      </c>
      <c r="H66" s="451" t="s">
        <v>372</v>
      </c>
      <c r="I66" s="473"/>
      <c r="J66" s="461" t="s">
        <v>49</v>
      </c>
      <c r="K66" s="452">
        <v>0.05</v>
      </c>
      <c r="L66" s="452"/>
      <c r="M66" s="459"/>
      <c r="N66" s="471"/>
      <c r="O66" s="462"/>
      <c r="P66" s="445" t="s">
        <v>373</v>
      </c>
      <c r="Q66" s="472">
        <v>309094321</v>
      </c>
      <c r="R66" s="461" t="s">
        <v>374</v>
      </c>
      <c r="S66" s="461"/>
      <c r="T66" s="461"/>
      <c r="U66" s="461"/>
      <c r="V66" s="461"/>
      <c r="W66" s="461" t="s">
        <v>51</v>
      </c>
      <c r="X66" s="463"/>
      <c r="Y66" s="463"/>
      <c r="Z66" s="464"/>
      <c r="AA66" s="464"/>
      <c r="AB66" s="465"/>
      <c r="AC66" s="554"/>
      <c r="AD66" s="491"/>
      <c r="AE66" s="450" t="s">
        <v>50</v>
      </c>
      <c r="AF66" s="411"/>
      <c r="AG66" s="474"/>
      <c r="AH66" s="474"/>
      <c r="AI66" s="42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>
        <v>400</v>
      </c>
      <c r="BI66" s="194" t="s">
        <v>375</v>
      </c>
      <c r="BJ66" s="1"/>
      <c r="BK66" s="3"/>
      <c r="BL66" s="3"/>
    </row>
    <row r="67" spans="1:16357" ht="23" hidden="1" customHeight="1" x14ac:dyDescent="0.35">
      <c r="A67" s="457">
        <v>1550</v>
      </c>
      <c r="B67" s="411" t="s">
        <v>376</v>
      </c>
      <c r="C67" s="457" t="s">
        <v>132</v>
      </c>
      <c r="D67" s="411"/>
      <c r="E67" s="411"/>
      <c r="F67" s="411" t="s">
        <v>377</v>
      </c>
      <c r="G67" s="411" t="s">
        <v>378</v>
      </c>
      <c r="H67" s="451" t="s">
        <v>379</v>
      </c>
      <c r="I67" s="473"/>
      <c r="J67" s="461" t="s">
        <v>60</v>
      </c>
      <c r="K67" s="452">
        <f>[18]Info!$C$8</f>
        <v>1</v>
      </c>
      <c r="L67" s="452"/>
      <c r="M67" s="459">
        <v>46128</v>
      </c>
      <c r="N67" s="472"/>
      <c r="O67" s="462"/>
      <c r="P67" s="461"/>
      <c r="Q67" s="461"/>
      <c r="R67" s="461"/>
      <c r="S67" s="461"/>
      <c r="T67" s="461"/>
      <c r="U67" s="461"/>
      <c r="V67" s="461"/>
      <c r="W67" s="461"/>
      <c r="X67" s="463"/>
      <c r="Y67" s="463"/>
      <c r="Z67" s="464"/>
      <c r="AA67" s="464"/>
      <c r="AB67" s="465"/>
      <c r="AC67" s="553"/>
      <c r="AD67" s="491"/>
      <c r="AE67" s="450" t="s">
        <v>50</v>
      </c>
      <c r="AF67" s="450"/>
      <c r="AG67" s="480"/>
      <c r="AH67" s="307"/>
      <c r="AI67" s="450"/>
      <c r="AJ67" s="176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233"/>
      <c r="BB67" s="233"/>
      <c r="BC67" s="233"/>
      <c r="BD67" s="1"/>
      <c r="BE67" s="1"/>
      <c r="BF67" s="1"/>
      <c r="BG67" s="194" t="s">
        <v>73</v>
      </c>
      <c r="BH67" s="253">
        <v>100</v>
      </c>
      <c r="BI67" s="194">
        <v>100</v>
      </c>
      <c r="BJ67" s="529" t="s">
        <v>73</v>
      </c>
      <c r="BK67" s="3" t="s">
        <v>104</v>
      </c>
      <c r="BL67" s="3" t="s">
        <v>100</v>
      </c>
    </row>
    <row r="68" spans="1:16357" ht="23" hidden="1" customHeight="1" x14ac:dyDescent="0.35">
      <c r="A68" s="457">
        <v>1556</v>
      </c>
      <c r="B68" s="480" t="s">
        <v>380</v>
      </c>
      <c r="C68" s="546" t="s">
        <v>132</v>
      </c>
      <c r="D68" s="546"/>
      <c r="E68" s="480"/>
      <c r="F68" s="470" t="s">
        <v>381</v>
      </c>
      <c r="G68" s="470" t="s">
        <v>382</v>
      </c>
      <c r="H68" s="451" t="s">
        <v>383</v>
      </c>
      <c r="I68" s="477"/>
      <c r="J68" s="461" t="s">
        <v>60</v>
      </c>
      <c r="K68" s="600">
        <f>[19]Info!$C$14</f>
        <v>1</v>
      </c>
      <c r="L68" s="452" t="s">
        <v>73</v>
      </c>
      <c r="M68" s="459"/>
      <c r="N68" s="461"/>
      <c r="O68" s="462"/>
      <c r="P68" s="460" t="s">
        <v>384</v>
      </c>
      <c r="Q68" s="460" t="s">
        <v>385</v>
      </c>
      <c r="R68" s="460" t="s">
        <v>112</v>
      </c>
      <c r="S68" s="460"/>
      <c r="T68" s="460"/>
      <c r="U68" s="460"/>
      <c r="V68" s="460"/>
      <c r="W68" s="460"/>
      <c r="X68" s="463"/>
      <c r="Y68" s="463"/>
      <c r="Z68" s="464"/>
      <c r="AA68" s="464"/>
      <c r="AB68" s="465"/>
      <c r="AC68" s="465"/>
      <c r="AD68" s="491"/>
      <c r="AE68" s="450" t="s">
        <v>50</v>
      </c>
      <c r="AF68" s="450"/>
      <c r="AG68" s="517"/>
      <c r="AH68" s="307"/>
      <c r="AI68" s="450"/>
      <c r="AJ68" s="176"/>
      <c r="AK68" s="1"/>
      <c r="AL68" s="1"/>
      <c r="AM68" s="1"/>
      <c r="AN68" s="1" t="s">
        <v>386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233"/>
      <c r="BB68" s="233"/>
      <c r="BC68" s="233"/>
      <c r="BD68" s="1"/>
      <c r="BE68" s="1"/>
      <c r="BF68" s="1"/>
      <c r="BG68" s="19" t="s">
        <v>73</v>
      </c>
      <c r="BH68" s="253">
        <v>200</v>
      </c>
      <c r="BI68" s="253">
        <v>200</v>
      </c>
      <c r="BJ68" s="19"/>
      <c r="BK68" s="3" t="s">
        <v>99</v>
      </c>
      <c r="BL68" s="3"/>
    </row>
    <row r="69" spans="1:16357" ht="23" hidden="1" customHeight="1" x14ac:dyDescent="0.35">
      <c r="A69" s="457">
        <v>1560</v>
      </c>
      <c r="B69" s="480" t="s">
        <v>387</v>
      </c>
      <c r="C69" s="546" t="s">
        <v>132</v>
      </c>
      <c r="D69" s="546"/>
      <c r="E69" s="480"/>
      <c r="F69" s="470" t="s">
        <v>388</v>
      </c>
      <c r="G69" s="470" t="s">
        <v>112</v>
      </c>
      <c r="H69" s="451" t="s">
        <v>389</v>
      </c>
      <c r="I69" s="477"/>
      <c r="J69" s="461" t="s">
        <v>60</v>
      </c>
      <c r="K69" s="452">
        <v>0.6</v>
      </c>
      <c r="L69" s="452"/>
      <c r="M69" s="459"/>
      <c r="N69" s="461"/>
      <c r="O69" s="462"/>
      <c r="P69" s="460"/>
      <c r="Q69" s="460"/>
      <c r="R69" s="460"/>
      <c r="S69" s="461"/>
      <c r="T69" s="461"/>
      <c r="U69" s="461"/>
      <c r="V69" s="461"/>
      <c r="W69" s="460"/>
      <c r="X69" s="463"/>
      <c r="Y69" s="463"/>
      <c r="Z69" s="464"/>
      <c r="AA69" s="464"/>
      <c r="AB69" s="465"/>
      <c r="AC69" s="553"/>
      <c r="AD69" s="491"/>
      <c r="AE69" s="450"/>
      <c r="AF69" s="450"/>
      <c r="AG69" s="517"/>
      <c r="AH69" s="307"/>
      <c r="AI69" s="450"/>
      <c r="AJ69" s="176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233"/>
      <c r="BB69" s="233"/>
      <c r="BC69" s="233"/>
      <c r="BD69" s="1"/>
      <c r="BE69" s="1"/>
      <c r="BF69" s="1"/>
      <c r="BG69" s="19" t="s">
        <v>73</v>
      </c>
      <c r="BH69" s="253">
        <v>500</v>
      </c>
      <c r="BI69" s="194">
        <v>600</v>
      </c>
      <c r="BJ69" s="19" t="s">
        <v>73</v>
      </c>
      <c r="BK69" s="3" t="s">
        <v>99</v>
      </c>
      <c r="BL69" s="3" t="s">
        <v>100</v>
      </c>
    </row>
    <row r="70" spans="1:16357" ht="23" hidden="1" customHeight="1" x14ac:dyDescent="0.35">
      <c r="A70" s="457">
        <v>1562</v>
      </c>
      <c r="B70" s="480" t="s">
        <v>390</v>
      </c>
      <c r="C70" s="548" t="s">
        <v>266</v>
      </c>
      <c r="D70" s="548" t="s">
        <v>57</v>
      </c>
      <c r="E70" s="480"/>
      <c r="F70" s="470">
        <v>298479354</v>
      </c>
      <c r="G70" s="470" t="s">
        <v>391</v>
      </c>
      <c r="H70" s="451" t="s">
        <v>392</v>
      </c>
      <c r="I70" s="477"/>
      <c r="J70" s="461" t="s">
        <v>49</v>
      </c>
      <c r="K70" s="452">
        <v>0</v>
      </c>
      <c r="L70" s="452"/>
      <c r="M70" s="459"/>
      <c r="N70" s="478"/>
      <c r="O70" s="462"/>
      <c r="P70" s="460"/>
      <c r="Q70" s="460"/>
      <c r="R70" s="460"/>
      <c r="S70" s="461"/>
      <c r="T70" s="461"/>
      <c r="U70" s="461"/>
      <c r="V70" s="461"/>
      <c r="W70" s="460"/>
      <c r="X70" s="463"/>
      <c r="Y70" s="463"/>
      <c r="Z70" s="464"/>
      <c r="AA70" s="464"/>
      <c r="AB70" s="469"/>
      <c r="AC70" s="553"/>
      <c r="AD70" s="491"/>
      <c r="AE70" s="450" t="s">
        <v>50</v>
      </c>
      <c r="AF70" s="450"/>
      <c r="AG70" s="517"/>
      <c r="AH70" s="307"/>
      <c r="AI70" s="450"/>
      <c r="AJ70" s="176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233"/>
      <c r="BB70" s="233"/>
      <c r="BC70" s="233"/>
      <c r="BD70" s="1"/>
      <c r="BE70" s="1"/>
      <c r="BF70" s="1"/>
      <c r="BG70" s="19" t="s">
        <v>73</v>
      </c>
      <c r="BH70" s="253">
        <v>500</v>
      </c>
      <c r="BI70" s="194">
        <v>550</v>
      </c>
      <c r="BJ70" s="19" t="s">
        <v>73</v>
      </c>
      <c r="BK70" s="3" t="s">
        <v>99</v>
      </c>
      <c r="BL70" s="3" t="s">
        <v>100</v>
      </c>
    </row>
    <row r="71" spans="1:16357" ht="23" hidden="1" customHeight="1" x14ac:dyDescent="0.35">
      <c r="A71" s="457">
        <v>1566</v>
      </c>
      <c r="B71" s="480" t="s">
        <v>393</v>
      </c>
      <c r="C71" s="546" t="s">
        <v>132</v>
      </c>
      <c r="D71" s="546"/>
      <c r="E71" s="480"/>
      <c r="F71" s="470">
        <v>323186068</v>
      </c>
      <c r="G71" s="470" t="s">
        <v>394</v>
      </c>
      <c r="H71" s="451" t="s">
        <v>395</v>
      </c>
      <c r="I71" s="477"/>
      <c r="J71" s="461" t="s">
        <v>49</v>
      </c>
      <c r="K71" s="452">
        <v>0.1</v>
      </c>
      <c r="L71" s="452"/>
      <c r="M71" s="459"/>
      <c r="N71" s="478"/>
      <c r="O71" s="462"/>
      <c r="P71" s="460" t="s">
        <v>396</v>
      </c>
      <c r="Q71" s="460" t="s">
        <v>397</v>
      </c>
      <c r="R71" s="460" t="s">
        <v>398</v>
      </c>
      <c r="S71" s="461"/>
      <c r="T71" s="461"/>
      <c r="U71" s="461"/>
      <c r="V71" s="461"/>
      <c r="W71" s="460"/>
      <c r="X71" s="463"/>
      <c r="Y71" s="463"/>
      <c r="Z71" s="464"/>
      <c r="AA71" s="464"/>
      <c r="AB71" s="465"/>
      <c r="AC71" s="553"/>
      <c r="AD71" s="491"/>
      <c r="AE71" s="450" t="s">
        <v>50</v>
      </c>
      <c r="AF71" s="450"/>
      <c r="AG71" s="517"/>
      <c r="AH71" s="307"/>
      <c r="AI71" s="450"/>
      <c r="AJ71" s="176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233"/>
      <c r="BB71" s="233"/>
      <c r="BC71" s="233"/>
      <c r="BD71" s="1"/>
      <c r="BE71" s="1"/>
      <c r="BF71" s="1"/>
      <c r="BG71" s="19"/>
      <c r="BH71" s="253">
        <v>500</v>
      </c>
      <c r="BI71" s="194">
        <v>600</v>
      </c>
      <c r="BJ71" s="19"/>
      <c r="BK71" s="3"/>
      <c r="BL71" s="3"/>
    </row>
    <row r="72" spans="1:16357" ht="23" customHeight="1" x14ac:dyDescent="0.35">
      <c r="A72" s="457">
        <v>1568</v>
      </c>
      <c r="B72" s="42" t="s">
        <v>399</v>
      </c>
      <c r="C72" s="546" t="s">
        <v>132</v>
      </c>
      <c r="D72" s="546"/>
      <c r="E72" s="42"/>
      <c r="F72" s="411" t="s">
        <v>400</v>
      </c>
      <c r="G72" s="411" t="s">
        <v>112</v>
      </c>
      <c r="H72" s="451" t="s">
        <v>401</v>
      </c>
      <c r="I72" s="477"/>
      <c r="J72" s="461" t="s">
        <v>60</v>
      </c>
      <c r="K72" s="600">
        <v>0.99</v>
      </c>
      <c r="L72" s="452" t="s">
        <v>73</v>
      </c>
      <c r="M72" s="459"/>
      <c r="N72" s="461"/>
      <c r="O72" s="462"/>
      <c r="P72" s="460"/>
      <c r="Q72" s="460"/>
      <c r="R72" s="461"/>
      <c r="S72" s="461"/>
      <c r="T72" s="461"/>
      <c r="U72" s="461"/>
      <c r="V72" s="461"/>
      <c r="W72" s="460"/>
      <c r="X72" s="463"/>
      <c r="Y72" s="463"/>
      <c r="Z72" s="464"/>
      <c r="AA72" s="464"/>
      <c r="AB72" s="469"/>
      <c r="AC72" s="474"/>
      <c r="AD72" s="491"/>
      <c r="AE72" s="450" t="s">
        <v>50</v>
      </c>
      <c r="AF72" s="450"/>
      <c r="AG72" s="517"/>
      <c r="AH72" s="307"/>
      <c r="AI72" s="450"/>
      <c r="AJ72" s="176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233"/>
      <c r="BB72" s="233"/>
      <c r="BC72" s="233"/>
      <c r="BD72" s="1"/>
      <c r="BE72" s="1"/>
      <c r="BF72" s="1"/>
      <c r="BG72" s="19" t="s">
        <v>73</v>
      </c>
      <c r="BH72" s="253">
        <v>500</v>
      </c>
      <c r="BI72" s="194">
        <v>600</v>
      </c>
      <c r="BJ72" s="19"/>
      <c r="BK72" s="3" t="s">
        <v>99</v>
      </c>
      <c r="BL72" s="3"/>
    </row>
    <row r="73" spans="1:16357" ht="23" hidden="1" customHeight="1" x14ac:dyDescent="0.35">
      <c r="A73" s="457">
        <v>1570</v>
      </c>
      <c r="B73" s="411" t="s">
        <v>402</v>
      </c>
      <c r="C73" s="546" t="s">
        <v>132</v>
      </c>
      <c r="D73" s="546"/>
      <c r="E73" s="411"/>
      <c r="F73" s="411" t="s">
        <v>403</v>
      </c>
      <c r="G73" s="481" t="s">
        <v>112</v>
      </c>
      <c r="H73" s="451" t="s">
        <v>404</v>
      </c>
      <c r="I73" s="477"/>
      <c r="J73" s="445" t="s">
        <v>49</v>
      </c>
      <c r="K73" s="600">
        <f>[20]Info!$C$14</f>
        <v>1</v>
      </c>
      <c r="L73" s="452" t="s">
        <v>73</v>
      </c>
      <c r="M73" s="459"/>
      <c r="N73" s="472"/>
      <c r="O73" s="462"/>
      <c r="P73" s="445"/>
      <c r="Q73" s="472"/>
      <c r="R73" s="461"/>
      <c r="S73" s="461"/>
      <c r="T73" s="461"/>
      <c r="U73" s="461"/>
      <c r="V73" s="461"/>
      <c r="W73" s="461"/>
      <c r="X73" s="463"/>
      <c r="Y73" s="463"/>
      <c r="Z73" s="464"/>
      <c r="AA73" s="464"/>
      <c r="AB73" s="465"/>
      <c r="AC73" s="474"/>
      <c r="AD73" s="491"/>
      <c r="AE73" s="450" t="s">
        <v>50</v>
      </c>
      <c r="AF73" s="450"/>
      <c r="AG73" s="517"/>
      <c r="AH73" s="307"/>
      <c r="AI73" s="450"/>
      <c r="AJ73" s="176"/>
      <c r="AK73" s="1"/>
      <c r="AL73" s="1"/>
      <c r="AM73" s="1"/>
      <c r="AN73" s="1"/>
      <c r="AO73" s="1" t="s">
        <v>51</v>
      </c>
      <c r="AP73" s="1"/>
      <c r="AQ73" s="1" t="s">
        <v>51</v>
      </c>
      <c r="AR73" s="1"/>
      <c r="AS73" s="1"/>
      <c r="AT73" s="1"/>
      <c r="AU73" s="1"/>
      <c r="AV73" s="1"/>
      <c r="AW73" s="1"/>
      <c r="AX73" s="1"/>
      <c r="AY73" s="1"/>
      <c r="AZ73" s="1"/>
      <c r="BA73" s="233"/>
      <c r="BB73" s="233"/>
      <c r="BC73" s="233"/>
      <c r="BD73" s="1"/>
      <c r="BE73" s="1"/>
      <c r="BF73" s="1"/>
      <c r="BG73" s="19" t="s">
        <v>73</v>
      </c>
      <c r="BH73" s="253">
        <v>500</v>
      </c>
      <c r="BI73" s="194">
        <v>600</v>
      </c>
      <c r="BJ73" s="19"/>
      <c r="BK73" s="3" t="s">
        <v>99</v>
      </c>
      <c r="BL73" s="3" t="s">
        <v>100</v>
      </c>
    </row>
    <row r="74" spans="1:16357" ht="23" customHeight="1" x14ac:dyDescent="0.35">
      <c r="A74" s="457">
        <v>1575</v>
      </c>
      <c r="B74" s="411" t="s">
        <v>405</v>
      </c>
      <c r="C74" s="546" t="s">
        <v>132</v>
      </c>
      <c r="D74" s="546"/>
      <c r="E74" s="411"/>
      <c r="F74" s="411" t="s">
        <v>406</v>
      </c>
      <c r="G74" s="481" t="s">
        <v>112</v>
      </c>
      <c r="H74" s="451" t="s">
        <v>407</v>
      </c>
      <c r="I74" s="477"/>
      <c r="J74" s="445" t="s">
        <v>121</v>
      </c>
      <c r="K74" s="733">
        <v>0.99</v>
      </c>
      <c r="L74" s="452" t="s">
        <v>73</v>
      </c>
      <c r="M74" s="459"/>
      <c r="N74" s="472"/>
      <c r="O74" s="462"/>
      <c r="P74" s="445"/>
      <c r="Q74" s="472"/>
      <c r="R74" s="461"/>
      <c r="S74" s="461"/>
      <c r="T74" s="461"/>
      <c r="U74" s="461"/>
      <c r="V74" s="461"/>
      <c r="W74" s="461"/>
      <c r="X74" s="463"/>
      <c r="Y74" s="463"/>
      <c r="Z74" s="482"/>
      <c r="AA74" s="482"/>
      <c r="AB74" s="465"/>
      <c r="AC74" s="474"/>
      <c r="AD74" s="491"/>
      <c r="AE74" s="450" t="s">
        <v>50</v>
      </c>
      <c r="AF74" s="450"/>
      <c r="AG74" s="517"/>
      <c r="AH74" s="307"/>
      <c r="AI74" s="450"/>
      <c r="AJ74" s="176"/>
      <c r="AK74" s="1"/>
      <c r="AL74" s="1"/>
      <c r="AM74" s="1"/>
      <c r="AN74" s="1"/>
      <c r="AO74" s="1" t="s">
        <v>51</v>
      </c>
      <c r="AP74" s="1"/>
      <c r="AQ74" s="1" t="s">
        <v>51</v>
      </c>
      <c r="AR74" s="1"/>
      <c r="AS74" s="1"/>
      <c r="AT74" s="1"/>
      <c r="AU74" s="1"/>
      <c r="AV74" s="1"/>
      <c r="AW74" s="1"/>
      <c r="AX74" s="1"/>
      <c r="AY74" s="1"/>
      <c r="AZ74" s="1"/>
      <c r="BA74" s="233"/>
      <c r="BB74" s="233"/>
      <c r="BC74" s="233"/>
      <c r="BD74" s="1"/>
      <c r="BE74" s="1"/>
      <c r="BF74" s="1"/>
      <c r="BG74" s="19" t="s">
        <v>73</v>
      </c>
      <c r="BH74" s="253">
        <v>500</v>
      </c>
      <c r="BI74" s="194">
        <v>600</v>
      </c>
      <c r="BJ74" s="19" t="s">
        <v>73</v>
      </c>
      <c r="BK74" s="3" t="s">
        <v>74</v>
      </c>
      <c r="BL74" s="3" t="s">
        <v>100</v>
      </c>
    </row>
    <row r="75" spans="1:16357" ht="23" hidden="1" customHeight="1" x14ac:dyDescent="0.35">
      <c r="A75" s="457">
        <v>1587</v>
      </c>
      <c r="B75" s="411" t="s">
        <v>408</v>
      </c>
      <c r="C75" s="546" t="s">
        <v>132</v>
      </c>
      <c r="D75" s="546"/>
      <c r="E75" s="411"/>
      <c r="F75" s="411" t="s">
        <v>409</v>
      </c>
      <c r="G75" s="481" t="s">
        <v>112</v>
      </c>
      <c r="H75" s="451" t="s">
        <v>410</v>
      </c>
      <c r="I75" s="477"/>
      <c r="J75" s="461" t="s">
        <v>60</v>
      </c>
      <c r="K75" s="600">
        <f>[21]Info!$C$9</f>
        <v>1</v>
      </c>
      <c r="L75" s="452" t="s">
        <v>73</v>
      </c>
      <c r="M75" s="459"/>
      <c r="N75" s="472"/>
      <c r="O75" s="462"/>
      <c r="P75" s="445"/>
      <c r="Q75" s="472"/>
      <c r="R75" s="461"/>
      <c r="S75" s="461"/>
      <c r="T75" s="461"/>
      <c r="U75" s="461"/>
      <c r="V75" s="461"/>
      <c r="W75" s="461"/>
      <c r="X75" s="463"/>
      <c r="Y75" s="463"/>
      <c r="Z75" s="482"/>
      <c r="AA75" s="482"/>
      <c r="AB75" s="465"/>
      <c r="AC75" s="474"/>
      <c r="AD75" s="491"/>
      <c r="AE75" s="450" t="s">
        <v>50</v>
      </c>
      <c r="AF75" s="450"/>
      <c r="AG75" s="517"/>
      <c r="AH75" s="307"/>
      <c r="AI75" s="450"/>
      <c r="AJ75" s="176"/>
      <c r="AK75" s="1"/>
      <c r="AL75" s="1"/>
      <c r="AM75" s="1"/>
      <c r="AN75" s="1"/>
      <c r="AO75" s="1" t="s">
        <v>51</v>
      </c>
      <c r="AP75" s="1"/>
      <c r="AQ75" s="1" t="s">
        <v>51</v>
      </c>
      <c r="AR75" s="1"/>
      <c r="AS75" s="1"/>
      <c r="AT75" s="1"/>
      <c r="AU75" s="1"/>
      <c r="AV75" s="1"/>
      <c r="AW75" s="1"/>
      <c r="AX75" s="1"/>
      <c r="AY75" s="1"/>
      <c r="AZ75" s="1"/>
      <c r="BA75" s="233"/>
      <c r="BB75" s="233"/>
      <c r="BC75" s="233"/>
      <c r="BD75" s="1"/>
      <c r="BE75" s="1"/>
      <c r="BF75" s="1"/>
      <c r="BG75" s="19" t="s">
        <v>73</v>
      </c>
      <c r="BH75" s="253">
        <v>500</v>
      </c>
      <c r="BI75" s="194">
        <v>600</v>
      </c>
      <c r="BJ75" s="19"/>
      <c r="BK75" s="3" t="s">
        <v>74</v>
      </c>
      <c r="BL75" s="3" t="s">
        <v>100</v>
      </c>
    </row>
    <row r="76" spans="1:16357" s="35" customFormat="1" ht="23" hidden="1" customHeight="1" x14ac:dyDescent="0.35">
      <c r="A76" s="457">
        <v>1588</v>
      </c>
      <c r="B76" s="411" t="s">
        <v>411</v>
      </c>
      <c r="C76" s="546" t="s">
        <v>132</v>
      </c>
      <c r="D76" s="546"/>
      <c r="E76" s="411"/>
      <c r="F76" s="411" t="s">
        <v>412</v>
      </c>
      <c r="G76" s="411" t="s">
        <v>112</v>
      </c>
      <c r="H76" s="478" t="s">
        <v>413</v>
      </c>
      <c r="I76" s="478"/>
      <c r="J76" s="478" t="s">
        <v>60</v>
      </c>
      <c r="K76" s="452">
        <v>0.2</v>
      </c>
      <c r="L76" s="478" t="s">
        <v>365</v>
      </c>
      <c r="M76" s="483"/>
      <c r="N76" s="478"/>
      <c r="O76" s="478"/>
      <c r="P76" s="478"/>
      <c r="Q76" s="478"/>
      <c r="R76" s="478"/>
      <c r="S76" s="478"/>
      <c r="T76" s="478"/>
      <c r="U76" s="478"/>
      <c r="V76" s="478"/>
      <c r="W76" s="478"/>
      <c r="X76" s="478"/>
      <c r="Y76" s="478"/>
      <c r="Z76" s="482"/>
      <c r="AA76" s="482"/>
      <c r="AB76" s="465"/>
      <c r="AC76" s="504"/>
      <c r="AD76" s="411"/>
      <c r="AE76" s="411" t="s">
        <v>50</v>
      </c>
      <c r="AF76" s="450"/>
      <c r="AG76" s="42"/>
      <c r="AH76" s="42"/>
      <c r="AI76" s="42"/>
      <c r="AO76" s="1" t="s">
        <v>51</v>
      </c>
      <c r="AP76" s="1"/>
      <c r="AQ76" s="1" t="s">
        <v>51</v>
      </c>
      <c r="BG76" s="19" t="s">
        <v>73</v>
      </c>
      <c r="BH76" s="253">
        <v>500</v>
      </c>
      <c r="BI76" s="194">
        <v>600</v>
      </c>
      <c r="BJ76" s="19" t="s">
        <v>73</v>
      </c>
      <c r="BK76" s="416" t="s">
        <v>99</v>
      </c>
      <c r="BL76" s="416" t="s">
        <v>100</v>
      </c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</row>
    <row r="77" spans="1:16357" s="59" customFormat="1" ht="23" hidden="1" customHeight="1" x14ac:dyDescent="0.35">
      <c r="A77" s="457">
        <v>1595</v>
      </c>
      <c r="B77" s="480" t="s">
        <v>414</v>
      </c>
      <c r="C77" s="546" t="s">
        <v>132</v>
      </c>
      <c r="D77" s="546"/>
      <c r="E77" s="480"/>
      <c r="F77" s="470" t="s">
        <v>415</v>
      </c>
      <c r="G77" s="470" t="s">
        <v>112</v>
      </c>
      <c r="H77" s="451" t="s">
        <v>416</v>
      </c>
      <c r="I77" s="477"/>
      <c r="J77" s="461" t="s">
        <v>60</v>
      </c>
      <c r="K77" s="452">
        <v>0.7</v>
      </c>
      <c r="L77" s="452" t="s">
        <v>365</v>
      </c>
      <c r="M77" s="484"/>
      <c r="N77" s="485"/>
      <c r="O77" s="486"/>
      <c r="P77" s="461" t="s">
        <v>417</v>
      </c>
      <c r="Q77" s="461" t="s">
        <v>418</v>
      </c>
      <c r="R77" s="461" t="s">
        <v>112</v>
      </c>
      <c r="S77" s="461"/>
      <c r="T77" s="461"/>
      <c r="U77" s="461"/>
      <c r="V77" s="461"/>
      <c r="W77" s="461"/>
      <c r="X77" s="463"/>
      <c r="Y77" s="463"/>
      <c r="Z77" s="482"/>
      <c r="AA77" s="482"/>
      <c r="AB77" s="465"/>
      <c r="AC77" s="500"/>
      <c r="AD77" s="492"/>
      <c r="AE77" s="450" t="s">
        <v>50</v>
      </c>
      <c r="AF77" s="470"/>
      <c r="AG77" s="504"/>
      <c r="AH77" s="504"/>
      <c r="AI77" s="470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 t="s">
        <v>73</v>
      </c>
      <c r="BH77" s="194">
        <v>600</v>
      </c>
      <c r="BI77" s="194">
        <v>600</v>
      </c>
      <c r="BJ77" s="1"/>
      <c r="BK77" s="3"/>
      <c r="BL77" s="3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  <c r="LF77" s="44"/>
      <c r="LG77" s="44"/>
      <c r="LH77" s="44"/>
      <c r="LI77" s="44"/>
      <c r="LJ77" s="44"/>
      <c r="LK77" s="44"/>
      <c r="LL77" s="44"/>
      <c r="LM77" s="44"/>
      <c r="LN77" s="44"/>
      <c r="LO77" s="44"/>
      <c r="LP77" s="44"/>
      <c r="LQ77" s="44"/>
      <c r="LR77" s="44"/>
      <c r="LS77" s="44"/>
      <c r="LT77" s="44"/>
      <c r="LU77" s="44"/>
      <c r="LV77" s="44"/>
      <c r="LW77" s="44"/>
      <c r="LX77" s="44"/>
      <c r="LY77" s="44"/>
      <c r="LZ77" s="44"/>
      <c r="MA77" s="44"/>
      <c r="MB77" s="44"/>
      <c r="MC77" s="44"/>
      <c r="MD77" s="44"/>
      <c r="ME77" s="44"/>
      <c r="MF77" s="44"/>
      <c r="MG77" s="44"/>
      <c r="MH77" s="44"/>
      <c r="MI77" s="44"/>
      <c r="MJ77" s="44"/>
      <c r="MK77" s="44"/>
      <c r="ML77" s="44"/>
      <c r="MM77" s="44"/>
      <c r="MN77" s="44"/>
      <c r="MO77" s="44"/>
      <c r="MP77" s="44"/>
      <c r="MQ77" s="44"/>
      <c r="MR77" s="44"/>
      <c r="MS77" s="44"/>
      <c r="MT77" s="44"/>
      <c r="MU77" s="44"/>
      <c r="MV77" s="44"/>
      <c r="MW77" s="44"/>
      <c r="MX77" s="44"/>
      <c r="MY77" s="44"/>
      <c r="MZ77" s="44"/>
      <c r="NA77" s="44"/>
      <c r="NB77" s="44"/>
      <c r="NC77" s="44"/>
      <c r="ND77" s="44"/>
      <c r="NE77" s="44"/>
      <c r="NF77" s="44"/>
      <c r="NG77" s="44"/>
      <c r="NH77" s="44"/>
      <c r="NI77" s="44"/>
      <c r="NJ77" s="44"/>
      <c r="NK77" s="44"/>
      <c r="NL77" s="44"/>
      <c r="NM77" s="44"/>
      <c r="NN77" s="44"/>
      <c r="NO77" s="44"/>
      <c r="NP77" s="44"/>
      <c r="NQ77" s="44"/>
      <c r="NR77" s="44"/>
      <c r="NS77" s="44"/>
      <c r="NT77" s="44"/>
      <c r="NU77" s="44"/>
      <c r="NV77" s="44"/>
      <c r="NW77" s="44"/>
      <c r="NX77" s="44"/>
      <c r="NY77" s="44"/>
      <c r="NZ77" s="44"/>
      <c r="OA77" s="44"/>
      <c r="OB77" s="44"/>
      <c r="OC77" s="44"/>
      <c r="OD77" s="44"/>
      <c r="OE77" s="44"/>
      <c r="OF77" s="44"/>
      <c r="OG77" s="44"/>
      <c r="OH77" s="44"/>
      <c r="OI77" s="44"/>
      <c r="OJ77" s="44"/>
      <c r="OK77" s="44"/>
      <c r="OL77" s="44"/>
      <c r="OM77" s="44"/>
      <c r="ON77" s="44"/>
      <c r="OO77" s="44"/>
      <c r="OP77" s="44"/>
      <c r="OQ77" s="44"/>
      <c r="OR77" s="44"/>
      <c r="OS77" s="44"/>
      <c r="OT77" s="44"/>
      <c r="OU77" s="44"/>
      <c r="OV77" s="44"/>
      <c r="OW77" s="44"/>
      <c r="OX77" s="44"/>
      <c r="OY77" s="44"/>
      <c r="OZ77" s="44"/>
      <c r="PA77" s="44"/>
      <c r="PB77" s="44"/>
      <c r="PC77" s="44"/>
      <c r="PD77" s="44"/>
      <c r="PE77" s="44"/>
      <c r="PF77" s="44"/>
      <c r="PG77" s="44"/>
      <c r="PH77" s="44"/>
      <c r="PI77" s="44"/>
      <c r="PJ77" s="44"/>
      <c r="PK77" s="44"/>
      <c r="PL77" s="44"/>
      <c r="PM77" s="44"/>
      <c r="PN77" s="44"/>
      <c r="PO77" s="44"/>
      <c r="PP77" s="44"/>
      <c r="PQ77" s="44"/>
      <c r="PR77" s="44"/>
      <c r="PS77" s="44"/>
      <c r="PT77" s="44"/>
      <c r="PU77" s="44"/>
      <c r="PV77" s="44"/>
      <c r="PW77" s="44"/>
      <c r="PX77" s="44"/>
      <c r="PY77" s="44"/>
      <c r="PZ77" s="44"/>
      <c r="QA77" s="44"/>
      <c r="QB77" s="44"/>
      <c r="QC77" s="44"/>
      <c r="QD77" s="44"/>
      <c r="QE77" s="44"/>
      <c r="QF77" s="44"/>
      <c r="QG77" s="44"/>
      <c r="QH77" s="44"/>
      <c r="QI77" s="44"/>
      <c r="QJ77" s="44"/>
      <c r="QK77" s="44"/>
      <c r="QL77" s="44"/>
      <c r="QM77" s="44"/>
      <c r="QN77" s="44"/>
      <c r="QO77" s="44"/>
      <c r="QP77" s="44"/>
      <c r="QQ77" s="44"/>
      <c r="QR77" s="44"/>
      <c r="QS77" s="44"/>
      <c r="QT77" s="44"/>
      <c r="QU77" s="44"/>
      <c r="QV77" s="44"/>
      <c r="QW77" s="44"/>
      <c r="QX77" s="44"/>
      <c r="QY77" s="44"/>
      <c r="QZ77" s="44"/>
      <c r="RA77" s="44"/>
      <c r="RB77" s="44"/>
      <c r="RC77" s="44"/>
      <c r="RD77" s="44"/>
      <c r="RE77" s="44"/>
      <c r="RF77" s="44"/>
      <c r="RG77" s="44"/>
      <c r="RH77" s="44"/>
      <c r="RI77" s="44"/>
      <c r="RJ77" s="44"/>
      <c r="RK77" s="44"/>
      <c r="RL77" s="44"/>
      <c r="RM77" s="44"/>
      <c r="RN77" s="44"/>
      <c r="RO77" s="44"/>
      <c r="RP77" s="44"/>
      <c r="RQ77" s="44"/>
      <c r="RR77" s="44"/>
      <c r="RS77" s="44"/>
      <c r="RT77" s="44"/>
      <c r="RU77" s="44"/>
      <c r="RV77" s="44"/>
      <c r="RW77" s="44"/>
      <c r="RX77" s="44"/>
      <c r="RY77" s="44"/>
      <c r="RZ77" s="44"/>
      <c r="SA77" s="44"/>
      <c r="SB77" s="44"/>
      <c r="SC77" s="44"/>
      <c r="SD77" s="44"/>
      <c r="SE77" s="44"/>
      <c r="SF77" s="44"/>
      <c r="SG77" s="44"/>
      <c r="SH77" s="44"/>
      <c r="SI77" s="44"/>
      <c r="SJ77" s="44"/>
      <c r="SK77" s="44"/>
      <c r="SL77" s="44"/>
      <c r="SM77" s="44"/>
      <c r="SN77" s="44"/>
      <c r="SO77" s="44"/>
      <c r="SP77" s="44"/>
      <c r="SQ77" s="44"/>
      <c r="SR77" s="44"/>
      <c r="SS77" s="44"/>
      <c r="ST77" s="44"/>
      <c r="SU77" s="44"/>
      <c r="SV77" s="44"/>
      <c r="SW77" s="44"/>
      <c r="SX77" s="44"/>
      <c r="SY77" s="44"/>
      <c r="SZ77" s="44"/>
      <c r="TA77" s="44"/>
      <c r="TB77" s="44"/>
      <c r="TC77" s="44"/>
      <c r="TD77" s="44"/>
      <c r="TE77" s="44"/>
      <c r="TF77" s="44"/>
      <c r="TG77" s="44"/>
      <c r="TH77" s="44"/>
      <c r="TI77" s="44"/>
      <c r="TJ77" s="44"/>
      <c r="TK77" s="44"/>
      <c r="TL77" s="44"/>
      <c r="TM77" s="44"/>
      <c r="TN77" s="44"/>
      <c r="TO77" s="44"/>
      <c r="TP77" s="44"/>
      <c r="TQ77" s="44"/>
      <c r="TR77" s="44"/>
      <c r="TS77" s="44"/>
      <c r="TT77" s="44"/>
      <c r="TU77" s="44"/>
      <c r="TV77" s="44"/>
      <c r="TW77" s="44"/>
      <c r="TX77" s="44"/>
      <c r="TY77" s="44"/>
      <c r="TZ77" s="44"/>
      <c r="UA77" s="44"/>
      <c r="UB77" s="44"/>
      <c r="UC77" s="44"/>
      <c r="UD77" s="44"/>
      <c r="UE77" s="44"/>
      <c r="UF77" s="44"/>
      <c r="UG77" s="44"/>
      <c r="UH77" s="44"/>
      <c r="UI77" s="44"/>
      <c r="UJ77" s="44"/>
      <c r="UK77" s="44"/>
      <c r="UL77" s="44"/>
      <c r="UM77" s="44"/>
      <c r="UN77" s="44"/>
      <c r="UO77" s="44"/>
      <c r="UP77" s="44"/>
      <c r="UQ77" s="44"/>
      <c r="UR77" s="44"/>
      <c r="US77" s="44"/>
      <c r="UT77" s="44"/>
      <c r="UU77" s="44"/>
      <c r="UV77" s="44"/>
      <c r="UW77" s="44"/>
      <c r="UX77" s="44"/>
      <c r="UY77" s="44"/>
      <c r="UZ77" s="44"/>
      <c r="VA77" s="44"/>
      <c r="VB77" s="44"/>
      <c r="VC77" s="44"/>
      <c r="VD77" s="44"/>
      <c r="VE77" s="44"/>
      <c r="VF77" s="44"/>
      <c r="VG77" s="44"/>
      <c r="VH77" s="44"/>
      <c r="VI77" s="44"/>
      <c r="VJ77" s="44"/>
      <c r="VK77" s="44"/>
      <c r="VL77" s="44"/>
      <c r="VM77" s="44"/>
      <c r="VN77" s="44"/>
      <c r="VO77" s="44"/>
      <c r="VP77" s="44"/>
      <c r="VQ77" s="44"/>
      <c r="VR77" s="44"/>
      <c r="VS77" s="44"/>
      <c r="VT77" s="44"/>
      <c r="VU77" s="44"/>
      <c r="VV77" s="44"/>
      <c r="VW77" s="44"/>
      <c r="VX77" s="44"/>
      <c r="VY77" s="44"/>
      <c r="VZ77" s="44"/>
      <c r="WA77" s="44"/>
      <c r="WB77" s="44"/>
      <c r="WC77" s="44"/>
      <c r="WD77" s="44"/>
      <c r="WE77" s="44"/>
      <c r="WF77" s="44"/>
      <c r="WG77" s="44"/>
      <c r="WH77" s="44"/>
      <c r="WI77" s="44"/>
      <c r="WJ77" s="44"/>
      <c r="WK77" s="44"/>
      <c r="WL77" s="44"/>
      <c r="WM77" s="44"/>
      <c r="WN77" s="44"/>
      <c r="WO77" s="44"/>
      <c r="WP77" s="44"/>
      <c r="WQ77" s="44"/>
      <c r="WR77" s="44"/>
      <c r="WS77" s="44"/>
      <c r="WT77" s="44"/>
      <c r="WU77" s="44"/>
      <c r="WV77" s="44"/>
      <c r="WW77" s="44"/>
      <c r="WX77" s="44"/>
      <c r="WY77" s="44"/>
      <c r="WZ77" s="44"/>
      <c r="XA77" s="44"/>
      <c r="XB77" s="44"/>
      <c r="XC77" s="44"/>
      <c r="XD77" s="44"/>
      <c r="XE77" s="44"/>
      <c r="XF77" s="44"/>
      <c r="XG77" s="44"/>
      <c r="XH77" s="44"/>
      <c r="XI77" s="44"/>
      <c r="XJ77" s="44"/>
      <c r="XK77" s="44"/>
      <c r="XL77" s="44"/>
      <c r="XM77" s="44"/>
      <c r="XN77" s="44"/>
      <c r="XO77" s="44"/>
      <c r="XP77" s="44"/>
      <c r="XQ77" s="44"/>
      <c r="XR77" s="44"/>
      <c r="XS77" s="44"/>
      <c r="XT77" s="44"/>
      <c r="XU77" s="44"/>
      <c r="XV77" s="44"/>
      <c r="XW77" s="44"/>
      <c r="XX77" s="44"/>
      <c r="XY77" s="44"/>
      <c r="XZ77" s="44"/>
      <c r="YA77" s="44"/>
      <c r="YB77" s="44"/>
      <c r="YC77" s="44"/>
      <c r="YD77" s="44"/>
      <c r="YE77" s="44"/>
      <c r="YF77" s="44"/>
      <c r="YG77" s="44"/>
      <c r="YH77" s="44"/>
      <c r="YI77" s="44"/>
      <c r="YJ77" s="44"/>
      <c r="YK77" s="44"/>
      <c r="YL77" s="44"/>
      <c r="YM77" s="44"/>
      <c r="YN77" s="44"/>
      <c r="YO77" s="44"/>
      <c r="YP77" s="44"/>
      <c r="YQ77" s="44"/>
      <c r="YR77" s="44"/>
      <c r="YS77" s="44"/>
      <c r="YT77" s="44"/>
      <c r="YU77" s="44"/>
      <c r="YV77" s="44"/>
      <c r="YW77" s="44"/>
      <c r="YX77" s="44"/>
      <c r="YY77" s="44"/>
      <c r="YZ77" s="44"/>
      <c r="ZA77" s="44"/>
      <c r="ZB77" s="44"/>
      <c r="ZC77" s="44"/>
      <c r="ZD77" s="44"/>
      <c r="ZE77" s="44"/>
      <c r="ZF77" s="44"/>
      <c r="ZG77" s="44"/>
      <c r="ZH77" s="44"/>
      <c r="ZI77" s="44"/>
      <c r="ZJ77" s="44"/>
      <c r="ZK77" s="44"/>
      <c r="ZL77" s="44"/>
      <c r="ZM77" s="44"/>
      <c r="ZN77" s="44"/>
      <c r="ZO77" s="44"/>
      <c r="ZP77" s="44"/>
      <c r="ZQ77" s="44"/>
      <c r="ZR77" s="44"/>
      <c r="ZS77" s="44"/>
      <c r="ZT77" s="44"/>
      <c r="ZU77" s="44"/>
      <c r="ZV77" s="44"/>
      <c r="ZW77" s="44"/>
      <c r="ZX77" s="44"/>
      <c r="ZY77" s="44"/>
      <c r="ZZ77" s="44"/>
      <c r="AAA77" s="44"/>
      <c r="AAB77" s="44"/>
      <c r="AAC77" s="44"/>
      <c r="AAD77" s="44"/>
      <c r="AAE77" s="44"/>
      <c r="AAF77" s="44"/>
      <c r="AAG77" s="44"/>
      <c r="AAH77" s="44"/>
      <c r="AAI77" s="44"/>
      <c r="AAJ77" s="44"/>
      <c r="AAK77" s="44"/>
      <c r="AAL77" s="44"/>
      <c r="AAM77" s="44"/>
      <c r="AAN77" s="44"/>
      <c r="AAO77" s="44"/>
      <c r="AAP77" s="44"/>
      <c r="AAQ77" s="44"/>
      <c r="AAR77" s="44"/>
      <c r="AAS77" s="44"/>
      <c r="AAT77" s="44"/>
      <c r="AAU77" s="44"/>
      <c r="AAV77" s="44"/>
      <c r="AAW77" s="44"/>
      <c r="AAX77" s="44"/>
      <c r="AAY77" s="44"/>
      <c r="AAZ77" s="44"/>
      <c r="ABA77" s="44"/>
      <c r="ABB77" s="44"/>
      <c r="ABC77" s="44"/>
      <c r="ABD77" s="44"/>
      <c r="ABE77" s="44"/>
      <c r="ABF77" s="44"/>
      <c r="ABG77" s="44"/>
      <c r="ABH77" s="44"/>
      <c r="ABI77" s="44"/>
      <c r="ABJ77" s="44"/>
      <c r="ABK77" s="44"/>
      <c r="ABL77" s="44"/>
      <c r="ABM77" s="44"/>
      <c r="ABN77" s="44"/>
      <c r="ABO77" s="44"/>
      <c r="ABP77" s="44"/>
      <c r="ABQ77" s="44"/>
      <c r="ABR77" s="44"/>
      <c r="ABS77" s="44"/>
      <c r="ABT77" s="44"/>
      <c r="ABU77" s="44"/>
      <c r="ABV77" s="44"/>
      <c r="ABW77" s="44"/>
      <c r="ABX77" s="44"/>
      <c r="ABY77" s="44"/>
      <c r="ABZ77" s="44"/>
      <c r="ACA77" s="44"/>
      <c r="ACB77" s="44"/>
      <c r="ACC77" s="44"/>
      <c r="ACD77" s="44"/>
      <c r="ACE77" s="44"/>
      <c r="ACF77" s="44"/>
      <c r="ACG77" s="44"/>
      <c r="ACH77" s="44"/>
      <c r="ACI77" s="44"/>
      <c r="ACJ77" s="44"/>
      <c r="ACK77" s="44"/>
      <c r="ACL77" s="44"/>
      <c r="ACM77" s="44"/>
      <c r="ACN77" s="44"/>
      <c r="ACO77" s="44"/>
      <c r="ACP77" s="44"/>
      <c r="ACQ77" s="44"/>
      <c r="ACR77" s="44"/>
      <c r="ACS77" s="44"/>
      <c r="ACT77" s="44"/>
      <c r="ACU77" s="44"/>
      <c r="ACV77" s="44"/>
      <c r="ACW77" s="44"/>
      <c r="ACX77" s="44"/>
      <c r="ACY77" s="44"/>
      <c r="ACZ77" s="44"/>
      <c r="ADA77" s="44"/>
      <c r="ADB77" s="44"/>
      <c r="ADC77" s="44"/>
      <c r="ADD77" s="44"/>
      <c r="ADE77" s="44"/>
      <c r="ADF77" s="44"/>
      <c r="ADG77" s="44"/>
      <c r="ADH77" s="44"/>
      <c r="ADI77" s="44"/>
      <c r="ADJ77" s="44"/>
      <c r="ADK77" s="44"/>
      <c r="ADL77" s="44"/>
      <c r="ADM77" s="44"/>
      <c r="ADN77" s="44"/>
      <c r="ADO77" s="44"/>
      <c r="ADP77" s="44"/>
      <c r="ADQ77" s="44"/>
      <c r="ADR77" s="44"/>
      <c r="ADS77" s="44"/>
      <c r="ADT77" s="44"/>
      <c r="ADU77" s="44"/>
      <c r="ADV77" s="44"/>
      <c r="ADW77" s="44"/>
      <c r="ADX77" s="44"/>
      <c r="ADY77" s="44"/>
      <c r="ADZ77" s="44"/>
      <c r="AEA77" s="44"/>
      <c r="AEB77" s="44"/>
      <c r="AEC77" s="44"/>
      <c r="AED77" s="44"/>
      <c r="AEE77" s="44"/>
      <c r="AEF77" s="44"/>
      <c r="AEG77" s="44"/>
      <c r="AEH77" s="44"/>
      <c r="AEI77" s="44"/>
      <c r="AEJ77" s="44"/>
      <c r="AEK77" s="44"/>
      <c r="AEL77" s="44"/>
      <c r="AEM77" s="44"/>
      <c r="AEN77" s="44"/>
      <c r="AEO77" s="44"/>
      <c r="AEP77" s="44"/>
      <c r="AEQ77" s="44"/>
      <c r="AER77" s="44"/>
      <c r="AES77" s="44"/>
      <c r="AET77" s="44"/>
      <c r="AEU77" s="44"/>
      <c r="AEV77" s="44"/>
      <c r="AEW77" s="44"/>
      <c r="AEX77" s="44"/>
      <c r="AEY77" s="44"/>
      <c r="AEZ77" s="44"/>
      <c r="AFA77" s="44"/>
      <c r="AFB77" s="44"/>
      <c r="AFC77" s="44"/>
      <c r="AFD77" s="44"/>
      <c r="AFE77" s="44"/>
      <c r="AFF77" s="44"/>
      <c r="AFG77" s="44"/>
      <c r="AFH77" s="44"/>
      <c r="AFI77" s="44"/>
      <c r="AFJ77" s="44"/>
      <c r="AFK77" s="44"/>
      <c r="AFL77" s="44"/>
      <c r="AFM77" s="44"/>
      <c r="AFN77" s="44"/>
      <c r="AFO77" s="44"/>
      <c r="AFP77" s="44"/>
      <c r="AFQ77" s="44"/>
      <c r="AFR77" s="44"/>
      <c r="AFS77" s="44"/>
      <c r="AFT77" s="44"/>
      <c r="AFU77" s="44"/>
      <c r="AFV77" s="44"/>
      <c r="AFW77" s="44"/>
      <c r="AFX77" s="44"/>
      <c r="AFY77" s="44"/>
      <c r="AFZ77" s="44"/>
      <c r="AGA77" s="44"/>
      <c r="AGB77" s="44"/>
      <c r="AGC77" s="44"/>
      <c r="AGD77" s="44"/>
      <c r="AGE77" s="44"/>
      <c r="AGF77" s="44"/>
      <c r="AGG77" s="44"/>
      <c r="AGH77" s="44"/>
      <c r="AGI77" s="44"/>
      <c r="AGJ77" s="44"/>
      <c r="AGK77" s="44"/>
      <c r="AGL77" s="44"/>
      <c r="AGM77" s="44"/>
      <c r="AGN77" s="44"/>
      <c r="AGO77" s="44"/>
      <c r="AGP77" s="44"/>
      <c r="AGQ77" s="44"/>
      <c r="AGR77" s="44"/>
      <c r="AGS77" s="44"/>
      <c r="AGT77" s="44"/>
      <c r="AGU77" s="44"/>
      <c r="AGV77" s="44"/>
      <c r="AGW77" s="44"/>
      <c r="AGX77" s="44"/>
      <c r="AGY77" s="44"/>
      <c r="AGZ77" s="44"/>
      <c r="AHA77" s="44"/>
      <c r="AHB77" s="44"/>
      <c r="AHC77" s="44"/>
      <c r="AHD77" s="44"/>
      <c r="AHE77" s="44"/>
      <c r="AHF77" s="44"/>
      <c r="AHG77" s="44"/>
      <c r="AHH77" s="44"/>
      <c r="AHI77" s="44"/>
      <c r="AHJ77" s="44"/>
      <c r="AHK77" s="44"/>
      <c r="AHL77" s="44"/>
      <c r="AHM77" s="44"/>
      <c r="AHN77" s="44"/>
      <c r="AHO77" s="44"/>
      <c r="AHP77" s="44"/>
      <c r="AHQ77" s="44"/>
      <c r="AHR77" s="44"/>
      <c r="AHS77" s="44"/>
      <c r="AHT77" s="44"/>
      <c r="AHU77" s="44"/>
      <c r="AHV77" s="44"/>
      <c r="AHW77" s="44"/>
      <c r="AHX77" s="44"/>
      <c r="AHY77" s="44"/>
      <c r="AHZ77" s="44"/>
      <c r="AIA77" s="44"/>
      <c r="AIB77" s="44"/>
      <c r="AIC77" s="44"/>
      <c r="AID77" s="44"/>
      <c r="AIE77" s="44"/>
      <c r="AIF77" s="44"/>
      <c r="AIG77" s="44"/>
      <c r="AIH77" s="44"/>
      <c r="AII77" s="44"/>
      <c r="AIJ77" s="44"/>
      <c r="AIK77" s="44"/>
      <c r="AIL77" s="44"/>
      <c r="AIM77" s="44"/>
      <c r="AIN77" s="44"/>
      <c r="AIO77" s="44"/>
      <c r="AIP77" s="44"/>
      <c r="AIQ77" s="44"/>
      <c r="AIR77" s="44"/>
      <c r="AIS77" s="44"/>
      <c r="AIT77" s="44"/>
      <c r="AIU77" s="44"/>
      <c r="AIV77" s="44"/>
      <c r="AIW77" s="44"/>
      <c r="AIX77" s="44"/>
      <c r="AIY77" s="44"/>
      <c r="AIZ77" s="44"/>
      <c r="AJA77" s="44"/>
      <c r="AJB77" s="44"/>
      <c r="AJC77" s="44"/>
      <c r="AJD77" s="44"/>
      <c r="AJE77" s="44"/>
      <c r="AJF77" s="44"/>
      <c r="AJG77" s="44"/>
      <c r="AJH77" s="44"/>
      <c r="AJI77" s="44"/>
      <c r="AJJ77" s="44"/>
      <c r="AJK77" s="44"/>
      <c r="AJL77" s="44"/>
      <c r="AJM77" s="44"/>
      <c r="AJN77" s="44"/>
      <c r="AJO77" s="44"/>
      <c r="AJP77" s="44"/>
      <c r="AJQ77" s="44"/>
      <c r="AJR77" s="44"/>
      <c r="AJS77" s="44"/>
      <c r="AJT77" s="44"/>
      <c r="AJU77" s="44"/>
      <c r="AJV77" s="44"/>
      <c r="AJW77" s="44"/>
      <c r="AJX77" s="44"/>
      <c r="AJY77" s="44"/>
      <c r="AJZ77" s="44"/>
      <c r="AKA77" s="44"/>
      <c r="AKB77" s="44"/>
      <c r="AKC77" s="44"/>
      <c r="AKD77" s="44"/>
      <c r="AKE77" s="44"/>
      <c r="AKF77" s="44"/>
      <c r="AKG77" s="44"/>
      <c r="AKH77" s="44"/>
      <c r="AKI77" s="44"/>
      <c r="AKJ77" s="44"/>
      <c r="AKK77" s="44"/>
      <c r="AKL77" s="44"/>
      <c r="AKM77" s="44"/>
      <c r="AKN77" s="44"/>
      <c r="AKO77" s="44"/>
      <c r="AKP77" s="44"/>
      <c r="AKQ77" s="44"/>
      <c r="AKR77" s="44"/>
      <c r="AKS77" s="44"/>
      <c r="AKT77" s="44"/>
      <c r="AKU77" s="44"/>
      <c r="AKV77" s="44"/>
      <c r="AKW77" s="44"/>
      <c r="AKX77" s="44"/>
      <c r="AKY77" s="44"/>
      <c r="AKZ77" s="44"/>
      <c r="ALA77" s="44"/>
      <c r="ALB77" s="44"/>
      <c r="ALC77" s="44"/>
      <c r="ALD77" s="44"/>
      <c r="ALE77" s="44"/>
      <c r="ALF77" s="44"/>
      <c r="ALG77" s="44"/>
      <c r="ALH77" s="44"/>
      <c r="ALI77" s="44"/>
      <c r="ALJ77" s="44"/>
      <c r="ALK77" s="44"/>
      <c r="ALL77" s="44"/>
      <c r="ALM77" s="44"/>
      <c r="ALN77" s="44"/>
      <c r="ALO77" s="44"/>
      <c r="ALP77" s="44"/>
      <c r="ALQ77" s="44"/>
      <c r="ALR77" s="44"/>
      <c r="ALS77" s="44"/>
      <c r="ALT77" s="44"/>
      <c r="ALU77" s="44"/>
      <c r="ALV77" s="44"/>
      <c r="ALW77" s="44"/>
      <c r="ALX77" s="44"/>
      <c r="ALY77" s="44"/>
      <c r="ALZ77" s="44"/>
      <c r="AMA77" s="44"/>
      <c r="AMB77" s="44"/>
      <c r="AMC77" s="44"/>
      <c r="AMD77" s="44"/>
      <c r="AME77" s="44"/>
      <c r="AMF77" s="44"/>
      <c r="AMG77" s="44"/>
      <c r="AMH77" s="44"/>
      <c r="AMI77" s="44"/>
      <c r="AMJ77" s="44"/>
      <c r="AMK77" s="44"/>
      <c r="AML77" s="44"/>
      <c r="AMM77" s="44"/>
      <c r="AMN77" s="44"/>
      <c r="AMO77" s="44"/>
      <c r="AMP77" s="44"/>
      <c r="AMQ77" s="44"/>
      <c r="AMR77" s="44"/>
      <c r="AMS77" s="44"/>
      <c r="AMT77" s="44"/>
      <c r="AMU77" s="44"/>
      <c r="AMV77" s="44"/>
      <c r="AMW77" s="44"/>
      <c r="AMX77" s="44"/>
      <c r="AMY77" s="44"/>
      <c r="AMZ77" s="44"/>
      <c r="ANA77" s="44"/>
      <c r="ANB77" s="44"/>
      <c r="ANC77" s="44"/>
      <c r="AND77" s="44"/>
      <c r="ANE77" s="44"/>
      <c r="ANF77" s="44"/>
      <c r="ANG77" s="44"/>
      <c r="ANH77" s="44"/>
      <c r="ANI77" s="44"/>
      <c r="ANJ77" s="44"/>
      <c r="ANK77" s="44"/>
      <c r="ANL77" s="44"/>
      <c r="ANM77" s="44"/>
      <c r="ANN77" s="44"/>
      <c r="ANO77" s="44"/>
      <c r="ANP77" s="44"/>
      <c r="ANQ77" s="44"/>
      <c r="ANR77" s="44"/>
      <c r="ANS77" s="44"/>
      <c r="ANT77" s="44"/>
      <c r="ANU77" s="44"/>
      <c r="ANV77" s="44"/>
      <c r="ANW77" s="44"/>
      <c r="ANX77" s="44"/>
      <c r="ANY77" s="44"/>
      <c r="ANZ77" s="44"/>
      <c r="AOA77" s="44"/>
      <c r="AOB77" s="44"/>
      <c r="AOC77" s="44"/>
      <c r="AOD77" s="44"/>
      <c r="AOE77" s="44"/>
      <c r="AOF77" s="44"/>
      <c r="AOG77" s="44"/>
      <c r="AOH77" s="44"/>
      <c r="AOI77" s="44"/>
      <c r="AOJ77" s="44"/>
      <c r="AOK77" s="44"/>
      <c r="AOL77" s="44"/>
      <c r="AOM77" s="44"/>
      <c r="AON77" s="44"/>
      <c r="AOO77" s="44"/>
      <c r="AOP77" s="44"/>
      <c r="AOQ77" s="44"/>
      <c r="AOR77" s="44"/>
      <c r="AOS77" s="44"/>
      <c r="AOT77" s="44"/>
      <c r="AOU77" s="44"/>
      <c r="AOV77" s="44"/>
      <c r="AOW77" s="44"/>
      <c r="AOX77" s="44"/>
      <c r="AOY77" s="44"/>
      <c r="AOZ77" s="44"/>
      <c r="APA77" s="44"/>
      <c r="APB77" s="44"/>
      <c r="APC77" s="44"/>
      <c r="APD77" s="44"/>
      <c r="APE77" s="44"/>
      <c r="APF77" s="44"/>
      <c r="APG77" s="44"/>
      <c r="APH77" s="44"/>
      <c r="API77" s="44"/>
      <c r="APJ77" s="44"/>
      <c r="APK77" s="44"/>
      <c r="APL77" s="44"/>
      <c r="APM77" s="44"/>
      <c r="APN77" s="44"/>
      <c r="APO77" s="44"/>
      <c r="APP77" s="44"/>
      <c r="APQ77" s="44"/>
      <c r="APR77" s="44"/>
      <c r="APS77" s="44"/>
      <c r="APT77" s="44"/>
      <c r="APU77" s="44"/>
      <c r="APV77" s="44"/>
      <c r="APW77" s="44"/>
      <c r="APX77" s="44"/>
      <c r="APY77" s="44"/>
      <c r="APZ77" s="44"/>
      <c r="AQA77" s="44"/>
      <c r="AQB77" s="44"/>
      <c r="AQC77" s="44"/>
      <c r="AQD77" s="44"/>
      <c r="AQE77" s="44"/>
      <c r="AQF77" s="44"/>
      <c r="AQG77" s="44"/>
      <c r="AQH77" s="44"/>
      <c r="AQI77" s="44"/>
      <c r="AQJ77" s="44"/>
      <c r="AQK77" s="44"/>
      <c r="AQL77" s="44"/>
      <c r="AQM77" s="44"/>
      <c r="AQN77" s="44"/>
      <c r="AQO77" s="44"/>
      <c r="AQP77" s="44"/>
      <c r="AQQ77" s="44"/>
      <c r="AQR77" s="44"/>
      <c r="AQS77" s="44"/>
      <c r="AQT77" s="44"/>
      <c r="AQU77" s="44"/>
      <c r="AQV77" s="44"/>
      <c r="AQW77" s="44"/>
      <c r="AQX77" s="44"/>
      <c r="AQY77" s="44"/>
      <c r="AQZ77" s="44"/>
      <c r="ARA77" s="44"/>
      <c r="ARB77" s="44"/>
      <c r="ARC77" s="44"/>
      <c r="ARD77" s="44"/>
      <c r="ARE77" s="44"/>
      <c r="ARF77" s="44"/>
      <c r="ARG77" s="44"/>
      <c r="ARH77" s="44"/>
      <c r="ARI77" s="44"/>
      <c r="ARJ77" s="44"/>
      <c r="ARK77" s="44"/>
      <c r="ARL77" s="44"/>
      <c r="ARM77" s="44"/>
      <c r="ARN77" s="44"/>
      <c r="ARO77" s="44"/>
      <c r="ARP77" s="44"/>
      <c r="ARQ77" s="44"/>
      <c r="ARR77" s="44"/>
      <c r="ARS77" s="44"/>
      <c r="ART77" s="44"/>
      <c r="ARU77" s="44"/>
      <c r="ARV77" s="44"/>
      <c r="ARW77" s="44"/>
      <c r="ARX77" s="44"/>
      <c r="ARY77" s="44"/>
      <c r="ARZ77" s="44"/>
      <c r="ASA77" s="44"/>
      <c r="ASB77" s="44"/>
      <c r="ASC77" s="44"/>
      <c r="ASD77" s="44"/>
      <c r="ASE77" s="44"/>
      <c r="ASF77" s="44"/>
      <c r="ASG77" s="44"/>
      <c r="ASH77" s="44"/>
      <c r="ASI77" s="44"/>
      <c r="ASJ77" s="44"/>
      <c r="ASK77" s="44"/>
      <c r="ASL77" s="44"/>
      <c r="ASM77" s="44"/>
      <c r="ASN77" s="44"/>
      <c r="ASO77" s="44"/>
      <c r="ASP77" s="44"/>
      <c r="ASQ77" s="44"/>
      <c r="ASR77" s="44"/>
      <c r="ASS77" s="44"/>
      <c r="AST77" s="44"/>
      <c r="ASU77" s="44"/>
      <c r="ASV77" s="44"/>
      <c r="ASW77" s="44"/>
      <c r="ASX77" s="44"/>
      <c r="ASY77" s="44"/>
      <c r="ASZ77" s="44"/>
      <c r="ATA77" s="44"/>
      <c r="ATB77" s="44"/>
      <c r="ATC77" s="44"/>
      <c r="ATD77" s="44"/>
      <c r="ATE77" s="44"/>
      <c r="ATF77" s="44"/>
      <c r="ATG77" s="44"/>
      <c r="ATH77" s="44"/>
      <c r="ATI77" s="44"/>
      <c r="ATJ77" s="44"/>
      <c r="ATK77" s="44"/>
      <c r="ATL77" s="44"/>
      <c r="ATM77" s="44"/>
      <c r="ATN77" s="44"/>
      <c r="ATO77" s="44"/>
      <c r="ATP77" s="44"/>
      <c r="ATQ77" s="44"/>
      <c r="ATR77" s="44"/>
      <c r="ATS77" s="44"/>
      <c r="ATT77" s="44"/>
      <c r="ATU77" s="44"/>
      <c r="ATV77" s="44"/>
      <c r="ATW77" s="44"/>
      <c r="ATX77" s="44"/>
      <c r="ATY77" s="44"/>
      <c r="ATZ77" s="44"/>
      <c r="AUA77" s="44"/>
      <c r="AUB77" s="44"/>
      <c r="AUC77" s="44"/>
      <c r="AUD77" s="44"/>
      <c r="AUE77" s="44"/>
      <c r="AUF77" s="44"/>
      <c r="AUG77" s="44"/>
      <c r="AUH77" s="44"/>
      <c r="AUI77" s="44"/>
      <c r="AUJ77" s="44"/>
      <c r="AUK77" s="44"/>
      <c r="AUL77" s="44"/>
      <c r="AUM77" s="44"/>
      <c r="AUN77" s="44"/>
      <c r="AUO77" s="44"/>
      <c r="AUP77" s="44"/>
      <c r="AUQ77" s="44"/>
      <c r="AUR77" s="44"/>
      <c r="AUS77" s="44"/>
      <c r="AUT77" s="44"/>
      <c r="AUU77" s="44"/>
      <c r="AUV77" s="44"/>
      <c r="AUW77" s="44"/>
      <c r="AUX77" s="44"/>
      <c r="AUY77" s="44"/>
      <c r="AUZ77" s="44"/>
      <c r="AVA77" s="44"/>
      <c r="AVB77" s="44"/>
      <c r="AVC77" s="44"/>
      <c r="AVD77" s="44"/>
      <c r="AVE77" s="44"/>
      <c r="AVF77" s="44"/>
      <c r="AVG77" s="44"/>
      <c r="AVH77" s="44"/>
      <c r="AVI77" s="44"/>
      <c r="AVJ77" s="44"/>
      <c r="AVK77" s="44"/>
      <c r="AVL77" s="44"/>
      <c r="AVM77" s="44"/>
      <c r="AVN77" s="44"/>
      <c r="AVO77" s="44"/>
      <c r="AVP77" s="44"/>
      <c r="AVQ77" s="44"/>
      <c r="AVR77" s="44"/>
      <c r="AVS77" s="44"/>
      <c r="AVT77" s="44"/>
      <c r="AVU77" s="44"/>
      <c r="AVV77" s="44"/>
      <c r="AVW77" s="44"/>
      <c r="AVX77" s="44"/>
      <c r="AVY77" s="44"/>
      <c r="AVZ77" s="44"/>
      <c r="AWA77" s="44"/>
      <c r="AWB77" s="44"/>
      <c r="AWC77" s="44"/>
      <c r="AWD77" s="44"/>
      <c r="AWE77" s="44"/>
      <c r="AWF77" s="44"/>
      <c r="AWG77" s="44"/>
      <c r="AWH77" s="44"/>
      <c r="AWI77" s="44"/>
      <c r="AWJ77" s="44"/>
      <c r="AWK77" s="44"/>
      <c r="AWL77" s="44"/>
      <c r="AWM77" s="44"/>
      <c r="AWN77" s="44"/>
      <c r="AWO77" s="44"/>
      <c r="AWP77" s="44"/>
      <c r="AWQ77" s="44"/>
      <c r="AWR77" s="44"/>
      <c r="AWS77" s="44"/>
      <c r="AWT77" s="44"/>
      <c r="AWU77" s="44"/>
      <c r="AWV77" s="44"/>
      <c r="AWW77" s="44"/>
      <c r="AWX77" s="44"/>
      <c r="AWY77" s="44"/>
      <c r="AWZ77" s="44"/>
      <c r="AXA77" s="44"/>
      <c r="AXB77" s="44"/>
      <c r="AXC77" s="44"/>
      <c r="AXD77" s="44"/>
      <c r="AXE77" s="44"/>
      <c r="AXF77" s="44"/>
      <c r="AXG77" s="44"/>
      <c r="AXH77" s="44"/>
      <c r="AXI77" s="44"/>
      <c r="AXJ77" s="44"/>
      <c r="AXK77" s="44"/>
      <c r="AXL77" s="44"/>
      <c r="AXM77" s="44"/>
      <c r="AXN77" s="44"/>
      <c r="AXO77" s="44"/>
      <c r="AXP77" s="44"/>
      <c r="AXQ77" s="44"/>
      <c r="AXR77" s="44"/>
      <c r="AXS77" s="44"/>
      <c r="AXT77" s="44"/>
      <c r="AXU77" s="44"/>
      <c r="AXV77" s="44"/>
      <c r="AXW77" s="44"/>
      <c r="AXX77" s="44"/>
      <c r="AXY77" s="44"/>
      <c r="AXZ77" s="44"/>
      <c r="AYA77" s="44"/>
      <c r="AYB77" s="44"/>
      <c r="AYC77" s="44"/>
      <c r="AYD77" s="44"/>
      <c r="AYE77" s="44"/>
      <c r="AYF77" s="44"/>
      <c r="AYG77" s="44"/>
      <c r="AYH77" s="44"/>
      <c r="AYI77" s="44"/>
      <c r="AYJ77" s="44"/>
      <c r="AYK77" s="44"/>
      <c r="AYL77" s="44"/>
      <c r="AYM77" s="44"/>
      <c r="AYN77" s="44"/>
      <c r="AYO77" s="44"/>
      <c r="AYP77" s="44"/>
      <c r="AYQ77" s="44"/>
      <c r="AYR77" s="44"/>
      <c r="AYS77" s="44"/>
      <c r="AYT77" s="44"/>
      <c r="AYU77" s="44"/>
      <c r="AYV77" s="44"/>
      <c r="AYW77" s="44"/>
      <c r="AYX77" s="44"/>
      <c r="AYY77" s="44"/>
      <c r="AYZ77" s="44"/>
      <c r="AZA77" s="44"/>
      <c r="AZB77" s="44"/>
      <c r="AZC77" s="44"/>
      <c r="AZD77" s="44"/>
      <c r="AZE77" s="44"/>
      <c r="AZF77" s="44"/>
      <c r="AZG77" s="44"/>
      <c r="AZH77" s="44"/>
      <c r="AZI77" s="44"/>
      <c r="AZJ77" s="44"/>
      <c r="AZK77" s="44"/>
      <c r="AZL77" s="44"/>
      <c r="AZM77" s="44"/>
      <c r="AZN77" s="44"/>
      <c r="AZO77" s="44"/>
      <c r="AZP77" s="44"/>
      <c r="AZQ77" s="44"/>
      <c r="AZR77" s="44"/>
      <c r="AZS77" s="44"/>
      <c r="AZT77" s="44"/>
      <c r="AZU77" s="44"/>
      <c r="AZV77" s="44"/>
      <c r="AZW77" s="44"/>
      <c r="AZX77" s="44"/>
      <c r="AZY77" s="44"/>
      <c r="AZZ77" s="44"/>
      <c r="BAA77" s="44"/>
      <c r="BAB77" s="44"/>
      <c r="BAC77" s="44"/>
      <c r="BAD77" s="44"/>
      <c r="BAE77" s="44"/>
      <c r="BAF77" s="44"/>
      <c r="BAG77" s="44"/>
      <c r="BAH77" s="44"/>
      <c r="BAI77" s="44"/>
      <c r="BAJ77" s="44"/>
      <c r="BAK77" s="44"/>
      <c r="BAL77" s="44"/>
      <c r="BAM77" s="44"/>
      <c r="BAN77" s="44"/>
      <c r="BAO77" s="44"/>
      <c r="BAP77" s="44"/>
      <c r="BAQ77" s="44"/>
      <c r="BAR77" s="44"/>
      <c r="BAS77" s="44"/>
      <c r="BAT77" s="44"/>
      <c r="BAU77" s="44"/>
      <c r="BAV77" s="44"/>
      <c r="BAW77" s="44"/>
      <c r="BAX77" s="44"/>
      <c r="BAY77" s="44"/>
      <c r="BAZ77" s="44"/>
      <c r="BBA77" s="44"/>
      <c r="BBB77" s="44"/>
      <c r="BBC77" s="44"/>
      <c r="BBD77" s="44"/>
      <c r="BBE77" s="44"/>
      <c r="BBF77" s="44"/>
      <c r="BBG77" s="44"/>
      <c r="BBH77" s="44"/>
      <c r="BBI77" s="44"/>
      <c r="BBJ77" s="44"/>
      <c r="BBK77" s="44"/>
      <c r="BBL77" s="44"/>
      <c r="BBM77" s="44"/>
      <c r="BBN77" s="44"/>
      <c r="BBO77" s="44"/>
      <c r="BBP77" s="44"/>
      <c r="BBQ77" s="44"/>
      <c r="BBR77" s="44"/>
      <c r="BBS77" s="44"/>
      <c r="BBT77" s="44"/>
      <c r="BBU77" s="44"/>
      <c r="BBV77" s="44"/>
      <c r="BBW77" s="44"/>
      <c r="BBX77" s="44"/>
      <c r="BBY77" s="44"/>
      <c r="BBZ77" s="44"/>
      <c r="BCA77" s="44"/>
      <c r="BCB77" s="44"/>
      <c r="BCC77" s="44"/>
      <c r="BCD77" s="44"/>
      <c r="BCE77" s="44"/>
      <c r="BCF77" s="44"/>
      <c r="BCG77" s="44"/>
      <c r="BCH77" s="44"/>
      <c r="BCI77" s="44"/>
      <c r="BCJ77" s="44"/>
      <c r="BCK77" s="44"/>
      <c r="BCL77" s="44"/>
      <c r="BCM77" s="44"/>
      <c r="BCN77" s="44"/>
      <c r="BCO77" s="44"/>
      <c r="BCP77" s="44"/>
      <c r="BCQ77" s="44"/>
      <c r="BCR77" s="44"/>
      <c r="BCS77" s="44"/>
      <c r="BCT77" s="44"/>
      <c r="BCU77" s="44"/>
      <c r="BCV77" s="44"/>
      <c r="BCW77" s="44"/>
      <c r="BCX77" s="44"/>
      <c r="BCY77" s="44"/>
      <c r="BCZ77" s="44"/>
      <c r="BDA77" s="44"/>
      <c r="BDB77" s="44"/>
      <c r="BDC77" s="44"/>
      <c r="BDD77" s="44"/>
      <c r="BDE77" s="44"/>
      <c r="BDF77" s="44"/>
      <c r="BDG77" s="44"/>
      <c r="BDH77" s="44"/>
      <c r="BDI77" s="44"/>
      <c r="BDJ77" s="44"/>
      <c r="BDK77" s="44"/>
      <c r="BDL77" s="44"/>
      <c r="BDM77" s="44"/>
      <c r="BDN77" s="44"/>
      <c r="BDO77" s="44"/>
      <c r="BDP77" s="44"/>
      <c r="BDQ77" s="44"/>
      <c r="BDR77" s="44"/>
      <c r="BDS77" s="44"/>
      <c r="BDT77" s="44"/>
      <c r="BDU77" s="44"/>
      <c r="BDV77" s="44"/>
      <c r="BDW77" s="44"/>
      <c r="BDX77" s="44"/>
      <c r="BDY77" s="44"/>
      <c r="BDZ77" s="44"/>
      <c r="BEA77" s="44"/>
      <c r="BEB77" s="44"/>
      <c r="BEC77" s="44"/>
      <c r="BED77" s="44"/>
      <c r="BEE77" s="44"/>
      <c r="BEF77" s="44"/>
      <c r="BEG77" s="44"/>
      <c r="BEH77" s="44"/>
      <c r="BEI77" s="44"/>
      <c r="BEJ77" s="44"/>
      <c r="BEK77" s="44"/>
      <c r="BEL77" s="44"/>
      <c r="BEM77" s="44"/>
      <c r="BEN77" s="44"/>
      <c r="BEO77" s="44"/>
      <c r="BEP77" s="44"/>
      <c r="BEQ77" s="44"/>
      <c r="BER77" s="44"/>
      <c r="BES77" s="44"/>
      <c r="BET77" s="44"/>
      <c r="BEU77" s="44"/>
      <c r="BEV77" s="44"/>
      <c r="BEW77" s="44"/>
      <c r="BEX77" s="44"/>
      <c r="BEY77" s="44"/>
      <c r="BEZ77" s="44"/>
      <c r="BFA77" s="44"/>
      <c r="BFB77" s="44"/>
      <c r="BFC77" s="44"/>
      <c r="BFD77" s="44"/>
      <c r="BFE77" s="44"/>
      <c r="BFF77" s="44"/>
      <c r="BFG77" s="44"/>
      <c r="BFH77" s="44"/>
      <c r="BFI77" s="44"/>
      <c r="BFJ77" s="44"/>
      <c r="BFK77" s="44"/>
      <c r="BFL77" s="44"/>
      <c r="BFM77" s="44"/>
      <c r="BFN77" s="44"/>
      <c r="BFO77" s="44"/>
      <c r="BFP77" s="44"/>
      <c r="BFQ77" s="44"/>
      <c r="BFR77" s="44"/>
      <c r="BFS77" s="44"/>
      <c r="BFT77" s="44"/>
      <c r="BFU77" s="44"/>
      <c r="BFV77" s="44"/>
      <c r="BFW77" s="44"/>
      <c r="BFX77" s="44"/>
      <c r="BFY77" s="44"/>
      <c r="BFZ77" s="44"/>
      <c r="BGA77" s="44"/>
      <c r="BGB77" s="44"/>
      <c r="BGC77" s="44"/>
      <c r="BGD77" s="44"/>
      <c r="BGE77" s="44"/>
      <c r="BGF77" s="44"/>
      <c r="BGG77" s="44"/>
      <c r="BGH77" s="44"/>
      <c r="BGI77" s="44"/>
      <c r="BGJ77" s="44"/>
      <c r="BGK77" s="44"/>
      <c r="BGL77" s="44"/>
      <c r="BGM77" s="44"/>
      <c r="BGN77" s="44"/>
      <c r="BGO77" s="44"/>
      <c r="BGP77" s="44"/>
      <c r="BGQ77" s="44"/>
      <c r="BGR77" s="44"/>
      <c r="BGS77" s="44"/>
      <c r="BGT77" s="44"/>
      <c r="BGU77" s="44"/>
      <c r="BGV77" s="44"/>
      <c r="BGW77" s="44"/>
      <c r="BGX77" s="44"/>
      <c r="BGY77" s="44"/>
      <c r="BGZ77" s="44"/>
      <c r="BHA77" s="44"/>
      <c r="BHB77" s="44"/>
      <c r="BHC77" s="44"/>
      <c r="BHD77" s="44"/>
      <c r="BHE77" s="44"/>
      <c r="BHF77" s="44"/>
      <c r="BHG77" s="44"/>
      <c r="BHH77" s="44"/>
      <c r="BHI77" s="44"/>
      <c r="BHJ77" s="44"/>
      <c r="BHK77" s="44"/>
      <c r="BHL77" s="44"/>
      <c r="BHM77" s="44"/>
      <c r="BHN77" s="44"/>
      <c r="BHO77" s="44"/>
      <c r="BHP77" s="44"/>
      <c r="BHQ77" s="44"/>
      <c r="BHR77" s="44"/>
      <c r="BHS77" s="44"/>
      <c r="BHT77" s="44"/>
      <c r="BHU77" s="44"/>
      <c r="BHV77" s="44"/>
      <c r="BHW77" s="44"/>
      <c r="BHX77" s="44"/>
      <c r="BHY77" s="44"/>
      <c r="BHZ77" s="44"/>
      <c r="BIA77" s="44"/>
      <c r="BIB77" s="44"/>
      <c r="BIC77" s="44"/>
      <c r="BID77" s="44"/>
      <c r="BIE77" s="44"/>
      <c r="BIF77" s="44"/>
      <c r="BIG77" s="44"/>
      <c r="BIH77" s="44"/>
      <c r="BII77" s="44"/>
      <c r="BIJ77" s="44"/>
      <c r="BIK77" s="44"/>
      <c r="BIL77" s="44"/>
      <c r="BIM77" s="44"/>
      <c r="BIN77" s="44"/>
      <c r="BIO77" s="44"/>
      <c r="BIP77" s="44"/>
      <c r="BIQ77" s="44"/>
      <c r="BIR77" s="44"/>
      <c r="BIS77" s="44"/>
      <c r="BIT77" s="44"/>
      <c r="BIU77" s="44"/>
      <c r="BIV77" s="44"/>
      <c r="BIW77" s="44"/>
      <c r="BIX77" s="44"/>
      <c r="BIY77" s="44"/>
      <c r="BIZ77" s="44"/>
      <c r="BJA77" s="44"/>
      <c r="BJB77" s="44"/>
      <c r="BJC77" s="44"/>
      <c r="BJD77" s="44"/>
      <c r="BJE77" s="44"/>
      <c r="BJF77" s="44"/>
      <c r="BJG77" s="44"/>
      <c r="BJH77" s="44"/>
      <c r="BJI77" s="44"/>
      <c r="BJJ77" s="44"/>
      <c r="BJK77" s="44"/>
      <c r="BJL77" s="44"/>
      <c r="BJM77" s="44"/>
      <c r="BJN77" s="44"/>
      <c r="BJO77" s="44"/>
      <c r="BJP77" s="44"/>
      <c r="BJQ77" s="44"/>
      <c r="BJR77" s="44"/>
      <c r="BJS77" s="44"/>
      <c r="BJT77" s="44"/>
      <c r="BJU77" s="44"/>
      <c r="BJV77" s="44"/>
      <c r="BJW77" s="44"/>
      <c r="BJX77" s="44"/>
      <c r="BJY77" s="44"/>
      <c r="BJZ77" s="44"/>
      <c r="BKA77" s="44"/>
      <c r="BKB77" s="44"/>
      <c r="BKC77" s="44"/>
      <c r="BKD77" s="44"/>
      <c r="BKE77" s="44"/>
      <c r="BKF77" s="44"/>
      <c r="BKG77" s="44"/>
      <c r="BKH77" s="44"/>
      <c r="BKI77" s="44"/>
      <c r="BKJ77" s="44"/>
      <c r="BKK77" s="44"/>
      <c r="BKL77" s="44"/>
      <c r="BKM77" s="44"/>
      <c r="BKN77" s="44"/>
      <c r="BKO77" s="44"/>
      <c r="BKP77" s="44"/>
      <c r="BKQ77" s="44"/>
      <c r="BKR77" s="44"/>
      <c r="BKS77" s="44"/>
      <c r="BKT77" s="44"/>
      <c r="BKU77" s="44"/>
      <c r="BKV77" s="44"/>
      <c r="BKW77" s="44"/>
      <c r="BKX77" s="44"/>
      <c r="BKY77" s="44"/>
      <c r="BKZ77" s="44"/>
      <c r="BLA77" s="44"/>
      <c r="BLB77" s="44"/>
      <c r="BLC77" s="44"/>
      <c r="BLD77" s="44"/>
      <c r="BLE77" s="44"/>
      <c r="BLF77" s="44"/>
      <c r="BLG77" s="44"/>
      <c r="BLH77" s="44"/>
      <c r="BLI77" s="44"/>
      <c r="BLJ77" s="44"/>
      <c r="BLK77" s="44"/>
      <c r="BLL77" s="44"/>
      <c r="BLM77" s="44"/>
      <c r="BLN77" s="44"/>
      <c r="BLO77" s="44"/>
      <c r="BLP77" s="44"/>
      <c r="BLQ77" s="44"/>
      <c r="BLR77" s="44"/>
      <c r="BLS77" s="44"/>
      <c r="BLT77" s="44"/>
      <c r="BLU77" s="44"/>
      <c r="BLV77" s="44"/>
      <c r="BLW77" s="44"/>
      <c r="BLX77" s="44"/>
      <c r="BLY77" s="44"/>
      <c r="BLZ77" s="44"/>
      <c r="BMA77" s="44"/>
      <c r="BMB77" s="44"/>
      <c r="BMC77" s="44"/>
      <c r="BMD77" s="44"/>
      <c r="BME77" s="44"/>
      <c r="BMF77" s="44"/>
      <c r="BMG77" s="44"/>
      <c r="BMH77" s="44"/>
      <c r="BMI77" s="44"/>
      <c r="BMJ77" s="44"/>
      <c r="BMK77" s="44"/>
      <c r="BML77" s="44"/>
      <c r="BMM77" s="44"/>
      <c r="BMN77" s="44"/>
      <c r="BMO77" s="44"/>
      <c r="BMP77" s="44"/>
      <c r="BMQ77" s="44"/>
      <c r="BMR77" s="44"/>
      <c r="BMS77" s="44"/>
      <c r="BMT77" s="44"/>
      <c r="BMU77" s="44"/>
      <c r="BMV77" s="44"/>
      <c r="BMW77" s="44"/>
      <c r="BMX77" s="44"/>
      <c r="BMY77" s="44"/>
      <c r="BMZ77" s="44"/>
      <c r="BNA77" s="44"/>
      <c r="BNB77" s="44"/>
      <c r="BNC77" s="44"/>
      <c r="BND77" s="44"/>
      <c r="BNE77" s="44"/>
      <c r="BNF77" s="44"/>
      <c r="BNG77" s="44"/>
      <c r="BNH77" s="44"/>
      <c r="BNI77" s="44"/>
      <c r="BNJ77" s="44"/>
      <c r="BNK77" s="44"/>
      <c r="BNL77" s="44"/>
      <c r="BNM77" s="44"/>
      <c r="BNN77" s="44"/>
      <c r="BNO77" s="44"/>
      <c r="BNP77" s="44"/>
      <c r="BNQ77" s="44"/>
      <c r="BNR77" s="44"/>
      <c r="BNS77" s="44"/>
      <c r="BNT77" s="44"/>
      <c r="BNU77" s="44"/>
      <c r="BNV77" s="44"/>
      <c r="BNW77" s="44"/>
      <c r="BNX77" s="44"/>
      <c r="BNY77" s="44"/>
      <c r="BNZ77" s="44"/>
      <c r="BOA77" s="44"/>
      <c r="BOB77" s="44"/>
      <c r="BOC77" s="44"/>
      <c r="BOD77" s="44"/>
      <c r="BOE77" s="44"/>
      <c r="BOF77" s="44"/>
      <c r="BOG77" s="44"/>
      <c r="BOH77" s="44"/>
      <c r="BOI77" s="44"/>
      <c r="BOJ77" s="44"/>
      <c r="BOK77" s="44"/>
      <c r="BOL77" s="44"/>
      <c r="BOM77" s="44"/>
      <c r="BON77" s="44"/>
      <c r="BOO77" s="44"/>
      <c r="BOP77" s="44"/>
      <c r="BOQ77" s="44"/>
      <c r="BOR77" s="44"/>
      <c r="BOS77" s="44"/>
      <c r="BOT77" s="44"/>
      <c r="BOU77" s="44"/>
      <c r="BOV77" s="44"/>
      <c r="BOW77" s="44"/>
      <c r="BOX77" s="44"/>
      <c r="BOY77" s="44"/>
      <c r="BOZ77" s="44"/>
      <c r="BPA77" s="44"/>
      <c r="BPB77" s="44"/>
      <c r="BPC77" s="44"/>
      <c r="BPD77" s="44"/>
      <c r="BPE77" s="44"/>
      <c r="BPF77" s="44"/>
      <c r="BPG77" s="44"/>
      <c r="BPH77" s="44"/>
      <c r="BPI77" s="44"/>
      <c r="BPJ77" s="44"/>
      <c r="BPK77" s="44"/>
      <c r="BPL77" s="44"/>
      <c r="BPM77" s="44"/>
      <c r="BPN77" s="44"/>
      <c r="BPO77" s="44"/>
      <c r="BPP77" s="44"/>
      <c r="BPQ77" s="44"/>
      <c r="BPR77" s="44"/>
      <c r="BPS77" s="44"/>
      <c r="BPT77" s="44"/>
      <c r="BPU77" s="44"/>
      <c r="BPV77" s="44"/>
      <c r="BPW77" s="44"/>
      <c r="BPX77" s="44"/>
      <c r="BPY77" s="44"/>
      <c r="BPZ77" s="44"/>
      <c r="BQA77" s="44"/>
      <c r="BQB77" s="44"/>
      <c r="BQC77" s="44"/>
      <c r="BQD77" s="44"/>
      <c r="BQE77" s="44"/>
      <c r="BQF77" s="44"/>
      <c r="BQG77" s="44"/>
      <c r="BQH77" s="44"/>
      <c r="BQI77" s="44"/>
      <c r="BQJ77" s="44"/>
      <c r="BQK77" s="44"/>
      <c r="BQL77" s="44"/>
      <c r="BQM77" s="44"/>
      <c r="BQN77" s="44"/>
      <c r="BQO77" s="44"/>
      <c r="BQP77" s="44"/>
      <c r="BQQ77" s="44"/>
      <c r="BQR77" s="44"/>
      <c r="BQS77" s="44"/>
      <c r="BQT77" s="44"/>
      <c r="BQU77" s="44"/>
      <c r="BQV77" s="44"/>
      <c r="BQW77" s="44"/>
      <c r="BQX77" s="44"/>
      <c r="BQY77" s="44"/>
      <c r="BQZ77" s="44"/>
      <c r="BRA77" s="44"/>
      <c r="BRB77" s="44"/>
      <c r="BRC77" s="44"/>
      <c r="BRD77" s="44"/>
      <c r="BRE77" s="44"/>
      <c r="BRF77" s="44"/>
      <c r="BRG77" s="44"/>
      <c r="BRH77" s="44"/>
      <c r="BRI77" s="44"/>
      <c r="BRJ77" s="44"/>
      <c r="BRK77" s="44"/>
      <c r="BRL77" s="44"/>
      <c r="BRM77" s="44"/>
      <c r="BRN77" s="44"/>
      <c r="BRO77" s="44"/>
      <c r="BRP77" s="44"/>
      <c r="BRQ77" s="44"/>
      <c r="BRR77" s="44"/>
      <c r="BRS77" s="44"/>
      <c r="BRT77" s="44"/>
      <c r="BRU77" s="44"/>
      <c r="BRV77" s="44"/>
      <c r="BRW77" s="44"/>
      <c r="BRX77" s="44"/>
      <c r="BRY77" s="44"/>
      <c r="BRZ77" s="44"/>
      <c r="BSA77" s="44"/>
      <c r="BSB77" s="44"/>
      <c r="BSC77" s="44"/>
      <c r="BSD77" s="44"/>
      <c r="BSE77" s="44"/>
      <c r="BSF77" s="44"/>
      <c r="BSG77" s="44"/>
      <c r="BSH77" s="44"/>
      <c r="BSI77" s="44"/>
      <c r="BSJ77" s="44"/>
      <c r="BSK77" s="44"/>
      <c r="BSL77" s="44"/>
      <c r="BSM77" s="44"/>
      <c r="BSN77" s="44"/>
      <c r="BSO77" s="44"/>
      <c r="BSP77" s="44"/>
      <c r="BSQ77" s="44"/>
      <c r="BSR77" s="44"/>
      <c r="BSS77" s="44"/>
      <c r="BST77" s="44"/>
      <c r="BSU77" s="44"/>
      <c r="BSV77" s="44"/>
      <c r="BSW77" s="44"/>
      <c r="BSX77" s="44"/>
      <c r="BSY77" s="44"/>
      <c r="BSZ77" s="44"/>
      <c r="BTA77" s="44"/>
      <c r="BTB77" s="44"/>
      <c r="BTC77" s="44"/>
      <c r="BTD77" s="44"/>
      <c r="BTE77" s="44"/>
      <c r="BTF77" s="44"/>
      <c r="BTG77" s="44"/>
      <c r="BTH77" s="44"/>
      <c r="BTI77" s="44"/>
      <c r="BTJ77" s="44"/>
      <c r="BTK77" s="44"/>
      <c r="BTL77" s="44"/>
      <c r="BTM77" s="44"/>
      <c r="BTN77" s="44"/>
      <c r="BTO77" s="44"/>
      <c r="BTP77" s="44"/>
      <c r="BTQ77" s="44"/>
      <c r="BTR77" s="44"/>
      <c r="BTS77" s="44"/>
      <c r="BTT77" s="44"/>
      <c r="BTU77" s="44"/>
      <c r="BTV77" s="44"/>
      <c r="BTW77" s="44"/>
      <c r="BTX77" s="44"/>
      <c r="BTY77" s="44"/>
      <c r="BTZ77" s="44"/>
      <c r="BUA77" s="44"/>
      <c r="BUB77" s="44"/>
      <c r="BUC77" s="44"/>
      <c r="BUD77" s="44"/>
      <c r="BUE77" s="44"/>
      <c r="BUF77" s="44"/>
      <c r="BUG77" s="44"/>
      <c r="BUH77" s="44"/>
      <c r="BUI77" s="44"/>
      <c r="BUJ77" s="44"/>
      <c r="BUK77" s="44"/>
      <c r="BUL77" s="44"/>
      <c r="BUM77" s="44"/>
      <c r="BUN77" s="44"/>
      <c r="BUO77" s="44"/>
      <c r="BUP77" s="44"/>
      <c r="BUQ77" s="44"/>
      <c r="BUR77" s="44"/>
      <c r="BUS77" s="44"/>
      <c r="BUT77" s="44"/>
      <c r="BUU77" s="44"/>
      <c r="BUV77" s="44"/>
      <c r="BUW77" s="44"/>
      <c r="BUX77" s="44"/>
      <c r="BUY77" s="44"/>
      <c r="BUZ77" s="44"/>
      <c r="BVA77" s="44"/>
      <c r="BVB77" s="44"/>
      <c r="BVC77" s="44"/>
      <c r="BVD77" s="44"/>
      <c r="BVE77" s="44"/>
      <c r="BVF77" s="44"/>
      <c r="BVG77" s="44"/>
      <c r="BVH77" s="44"/>
      <c r="BVI77" s="44"/>
      <c r="BVJ77" s="44"/>
      <c r="BVK77" s="44"/>
      <c r="BVL77" s="44"/>
      <c r="BVM77" s="44"/>
      <c r="BVN77" s="44"/>
      <c r="BVO77" s="44"/>
      <c r="BVP77" s="44"/>
      <c r="BVQ77" s="44"/>
      <c r="BVR77" s="44"/>
      <c r="BVS77" s="44"/>
      <c r="BVT77" s="44"/>
      <c r="BVU77" s="44"/>
      <c r="BVV77" s="44"/>
      <c r="BVW77" s="44"/>
      <c r="BVX77" s="44"/>
      <c r="BVY77" s="44"/>
      <c r="BVZ77" s="44"/>
      <c r="BWA77" s="44"/>
      <c r="BWB77" s="44"/>
      <c r="BWC77" s="44"/>
      <c r="BWD77" s="44"/>
      <c r="BWE77" s="44"/>
      <c r="BWF77" s="44"/>
      <c r="BWG77" s="44"/>
      <c r="BWH77" s="44"/>
      <c r="BWI77" s="44"/>
      <c r="BWJ77" s="44"/>
      <c r="BWK77" s="44"/>
      <c r="BWL77" s="44"/>
      <c r="BWM77" s="44"/>
      <c r="BWN77" s="44"/>
      <c r="BWO77" s="44"/>
      <c r="BWP77" s="44"/>
      <c r="BWQ77" s="44"/>
      <c r="BWR77" s="44"/>
      <c r="BWS77" s="44"/>
      <c r="BWT77" s="44"/>
      <c r="BWU77" s="44"/>
      <c r="BWV77" s="44"/>
      <c r="BWW77" s="44"/>
      <c r="BWX77" s="44"/>
      <c r="BWY77" s="44"/>
      <c r="BWZ77" s="44"/>
      <c r="BXA77" s="44"/>
      <c r="BXB77" s="44"/>
      <c r="BXC77" s="44"/>
      <c r="BXD77" s="44"/>
      <c r="BXE77" s="44"/>
      <c r="BXF77" s="44"/>
      <c r="BXG77" s="44"/>
      <c r="BXH77" s="44"/>
      <c r="BXI77" s="44"/>
      <c r="BXJ77" s="44"/>
      <c r="BXK77" s="44"/>
      <c r="BXL77" s="44"/>
      <c r="BXM77" s="44"/>
      <c r="BXN77" s="44"/>
      <c r="BXO77" s="44"/>
      <c r="BXP77" s="44"/>
      <c r="BXQ77" s="44"/>
      <c r="BXR77" s="44"/>
      <c r="BXS77" s="44"/>
      <c r="BXT77" s="44"/>
      <c r="BXU77" s="44"/>
      <c r="BXV77" s="44"/>
      <c r="BXW77" s="44"/>
      <c r="BXX77" s="44"/>
      <c r="BXY77" s="44"/>
      <c r="BXZ77" s="44"/>
      <c r="BYA77" s="44"/>
      <c r="BYB77" s="44"/>
      <c r="BYC77" s="44"/>
      <c r="BYD77" s="44"/>
      <c r="BYE77" s="44"/>
      <c r="BYF77" s="44"/>
      <c r="BYG77" s="44"/>
      <c r="BYH77" s="44"/>
      <c r="BYI77" s="44"/>
      <c r="BYJ77" s="44"/>
      <c r="BYK77" s="44"/>
      <c r="BYL77" s="44"/>
      <c r="BYM77" s="44"/>
      <c r="BYN77" s="44"/>
      <c r="BYO77" s="44"/>
      <c r="BYP77" s="44"/>
      <c r="BYQ77" s="44"/>
      <c r="BYR77" s="44"/>
      <c r="BYS77" s="44"/>
      <c r="BYT77" s="44"/>
      <c r="BYU77" s="44"/>
      <c r="BYV77" s="44"/>
      <c r="BYW77" s="44"/>
      <c r="BYX77" s="44"/>
      <c r="BYY77" s="44"/>
      <c r="BYZ77" s="44"/>
      <c r="BZA77" s="44"/>
      <c r="BZB77" s="44"/>
      <c r="BZC77" s="44"/>
      <c r="BZD77" s="44"/>
      <c r="BZE77" s="44"/>
      <c r="BZF77" s="44"/>
      <c r="BZG77" s="44"/>
      <c r="BZH77" s="44"/>
      <c r="BZI77" s="44"/>
      <c r="BZJ77" s="44"/>
      <c r="BZK77" s="44"/>
      <c r="BZL77" s="44"/>
      <c r="BZM77" s="44"/>
      <c r="BZN77" s="44"/>
      <c r="BZO77" s="44"/>
      <c r="BZP77" s="44"/>
      <c r="BZQ77" s="44"/>
      <c r="BZR77" s="44"/>
      <c r="BZS77" s="44"/>
      <c r="BZT77" s="44"/>
      <c r="BZU77" s="44"/>
      <c r="BZV77" s="44"/>
      <c r="BZW77" s="44"/>
      <c r="BZX77" s="44"/>
      <c r="BZY77" s="44"/>
      <c r="BZZ77" s="44"/>
      <c r="CAA77" s="44"/>
      <c r="CAB77" s="44"/>
      <c r="CAC77" s="44"/>
      <c r="CAD77" s="44"/>
      <c r="CAE77" s="44"/>
      <c r="CAF77" s="44"/>
      <c r="CAG77" s="44"/>
      <c r="CAH77" s="44"/>
      <c r="CAI77" s="44"/>
      <c r="CAJ77" s="44"/>
      <c r="CAK77" s="44"/>
      <c r="CAL77" s="44"/>
      <c r="CAM77" s="44"/>
      <c r="CAN77" s="44"/>
      <c r="CAO77" s="44"/>
      <c r="CAP77" s="44"/>
      <c r="CAQ77" s="44"/>
      <c r="CAR77" s="44"/>
      <c r="CAS77" s="44"/>
      <c r="CAT77" s="44"/>
      <c r="CAU77" s="44"/>
      <c r="CAV77" s="44"/>
      <c r="CAW77" s="44"/>
      <c r="CAX77" s="44"/>
      <c r="CAY77" s="44"/>
      <c r="CAZ77" s="44"/>
      <c r="CBA77" s="44"/>
      <c r="CBB77" s="44"/>
      <c r="CBC77" s="44"/>
      <c r="CBD77" s="44"/>
      <c r="CBE77" s="44"/>
      <c r="CBF77" s="44"/>
      <c r="CBG77" s="44"/>
      <c r="CBH77" s="44"/>
      <c r="CBI77" s="44"/>
      <c r="CBJ77" s="44"/>
      <c r="CBK77" s="44"/>
      <c r="CBL77" s="44"/>
      <c r="CBM77" s="44"/>
      <c r="CBN77" s="44"/>
      <c r="CBO77" s="44"/>
      <c r="CBP77" s="44"/>
      <c r="CBQ77" s="44"/>
      <c r="CBR77" s="44"/>
      <c r="CBS77" s="44"/>
      <c r="CBT77" s="44"/>
      <c r="CBU77" s="44"/>
      <c r="CBV77" s="44"/>
      <c r="CBW77" s="44"/>
      <c r="CBX77" s="44"/>
      <c r="CBY77" s="44"/>
      <c r="CBZ77" s="44"/>
      <c r="CCA77" s="44"/>
      <c r="CCB77" s="44"/>
      <c r="CCC77" s="44"/>
      <c r="CCD77" s="44"/>
      <c r="CCE77" s="44"/>
      <c r="CCF77" s="44"/>
      <c r="CCG77" s="44"/>
      <c r="CCH77" s="44"/>
      <c r="CCI77" s="44"/>
      <c r="CCJ77" s="44"/>
      <c r="CCK77" s="44"/>
      <c r="CCL77" s="44"/>
      <c r="CCM77" s="44"/>
      <c r="CCN77" s="44"/>
      <c r="CCO77" s="44"/>
      <c r="CCP77" s="44"/>
      <c r="CCQ77" s="44"/>
      <c r="CCR77" s="44"/>
      <c r="CCS77" s="44"/>
      <c r="CCT77" s="44"/>
      <c r="CCU77" s="44"/>
      <c r="CCV77" s="44"/>
      <c r="CCW77" s="44"/>
      <c r="CCX77" s="44"/>
      <c r="CCY77" s="44"/>
      <c r="CCZ77" s="44"/>
      <c r="CDA77" s="44"/>
      <c r="CDB77" s="44"/>
      <c r="CDC77" s="44"/>
      <c r="CDD77" s="44"/>
      <c r="CDE77" s="44"/>
      <c r="CDF77" s="44"/>
      <c r="CDG77" s="44"/>
      <c r="CDH77" s="44"/>
      <c r="CDI77" s="44"/>
      <c r="CDJ77" s="44"/>
      <c r="CDK77" s="44"/>
      <c r="CDL77" s="44"/>
      <c r="CDM77" s="44"/>
      <c r="CDN77" s="44"/>
      <c r="CDO77" s="44"/>
      <c r="CDP77" s="44"/>
      <c r="CDQ77" s="44"/>
      <c r="CDR77" s="44"/>
      <c r="CDS77" s="44"/>
      <c r="CDT77" s="44"/>
      <c r="CDU77" s="44"/>
      <c r="CDV77" s="44"/>
      <c r="CDW77" s="44"/>
      <c r="CDX77" s="44"/>
      <c r="CDY77" s="44"/>
      <c r="CDZ77" s="44"/>
      <c r="CEA77" s="44"/>
      <c r="CEB77" s="44"/>
      <c r="CEC77" s="44"/>
      <c r="CED77" s="44"/>
      <c r="CEE77" s="44"/>
      <c r="CEF77" s="44"/>
      <c r="CEG77" s="44"/>
      <c r="CEH77" s="44"/>
      <c r="CEI77" s="44"/>
      <c r="CEJ77" s="44"/>
      <c r="CEK77" s="44"/>
      <c r="CEL77" s="44"/>
      <c r="CEM77" s="44"/>
      <c r="CEN77" s="44"/>
      <c r="CEO77" s="44"/>
      <c r="CEP77" s="44"/>
      <c r="CEQ77" s="44"/>
      <c r="CER77" s="44"/>
      <c r="CES77" s="44"/>
      <c r="CET77" s="44"/>
      <c r="CEU77" s="44"/>
      <c r="CEV77" s="44"/>
      <c r="CEW77" s="44"/>
      <c r="CEX77" s="44"/>
      <c r="CEY77" s="44"/>
      <c r="CEZ77" s="44"/>
      <c r="CFA77" s="44"/>
      <c r="CFB77" s="44"/>
      <c r="CFC77" s="44"/>
      <c r="CFD77" s="44"/>
      <c r="CFE77" s="44"/>
      <c r="CFF77" s="44"/>
      <c r="CFG77" s="44"/>
      <c r="CFH77" s="44"/>
      <c r="CFI77" s="44"/>
      <c r="CFJ77" s="44"/>
      <c r="CFK77" s="44"/>
      <c r="CFL77" s="44"/>
      <c r="CFM77" s="44"/>
      <c r="CFN77" s="44"/>
      <c r="CFO77" s="44"/>
      <c r="CFP77" s="44"/>
      <c r="CFQ77" s="44"/>
      <c r="CFR77" s="44"/>
      <c r="CFS77" s="44"/>
      <c r="CFT77" s="44"/>
      <c r="CFU77" s="44"/>
      <c r="CFV77" s="44"/>
      <c r="CFW77" s="44"/>
      <c r="CFX77" s="44"/>
      <c r="CFY77" s="44"/>
      <c r="CFZ77" s="44"/>
      <c r="CGA77" s="44"/>
      <c r="CGB77" s="44"/>
      <c r="CGC77" s="44"/>
      <c r="CGD77" s="44"/>
      <c r="CGE77" s="44"/>
      <c r="CGF77" s="44"/>
      <c r="CGG77" s="44"/>
      <c r="CGH77" s="44"/>
      <c r="CGI77" s="44"/>
      <c r="CGJ77" s="44"/>
      <c r="CGK77" s="44"/>
      <c r="CGL77" s="44"/>
      <c r="CGM77" s="44"/>
      <c r="CGN77" s="44"/>
      <c r="CGO77" s="44"/>
      <c r="CGP77" s="44"/>
      <c r="CGQ77" s="44"/>
      <c r="CGR77" s="44"/>
      <c r="CGS77" s="44"/>
      <c r="CGT77" s="44"/>
      <c r="CGU77" s="44"/>
      <c r="CGV77" s="44"/>
      <c r="CGW77" s="44"/>
      <c r="CGX77" s="44"/>
      <c r="CGY77" s="44"/>
      <c r="CGZ77" s="44"/>
      <c r="CHA77" s="44"/>
      <c r="CHB77" s="44"/>
      <c r="CHC77" s="44"/>
      <c r="CHD77" s="44"/>
      <c r="CHE77" s="44"/>
      <c r="CHF77" s="44"/>
      <c r="CHG77" s="44"/>
      <c r="CHH77" s="44"/>
      <c r="CHI77" s="44"/>
      <c r="CHJ77" s="44"/>
      <c r="CHK77" s="44"/>
      <c r="CHL77" s="44"/>
      <c r="CHM77" s="44"/>
      <c r="CHN77" s="44"/>
      <c r="CHO77" s="44"/>
      <c r="CHP77" s="44"/>
      <c r="CHQ77" s="44"/>
      <c r="CHR77" s="44"/>
      <c r="CHS77" s="44"/>
      <c r="CHT77" s="44"/>
      <c r="CHU77" s="44"/>
      <c r="CHV77" s="44"/>
      <c r="CHW77" s="44"/>
      <c r="CHX77" s="44"/>
      <c r="CHY77" s="44"/>
      <c r="CHZ77" s="44"/>
      <c r="CIA77" s="44"/>
      <c r="CIB77" s="44"/>
      <c r="CIC77" s="44"/>
      <c r="CID77" s="44"/>
      <c r="CIE77" s="44"/>
      <c r="CIF77" s="44"/>
      <c r="CIG77" s="44"/>
      <c r="CIH77" s="44"/>
      <c r="CII77" s="44"/>
      <c r="CIJ77" s="44"/>
      <c r="CIK77" s="44"/>
      <c r="CIL77" s="44"/>
      <c r="CIM77" s="44"/>
      <c r="CIN77" s="44"/>
      <c r="CIO77" s="44"/>
      <c r="CIP77" s="44"/>
      <c r="CIQ77" s="44"/>
      <c r="CIR77" s="44"/>
      <c r="CIS77" s="44"/>
      <c r="CIT77" s="44"/>
      <c r="CIU77" s="44"/>
      <c r="CIV77" s="44"/>
      <c r="CIW77" s="44"/>
      <c r="CIX77" s="44"/>
      <c r="CIY77" s="44"/>
      <c r="CIZ77" s="44"/>
      <c r="CJA77" s="44"/>
      <c r="CJB77" s="44"/>
      <c r="CJC77" s="44"/>
      <c r="CJD77" s="44"/>
      <c r="CJE77" s="44"/>
      <c r="CJF77" s="44"/>
      <c r="CJG77" s="44"/>
      <c r="CJH77" s="44"/>
      <c r="CJI77" s="44"/>
      <c r="CJJ77" s="44"/>
      <c r="CJK77" s="44"/>
      <c r="CJL77" s="44"/>
      <c r="CJM77" s="44"/>
      <c r="CJN77" s="44"/>
      <c r="CJO77" s="44"/>
      <c r="CJP77" s="44"/>
      <c r="CJQ77" s="44"/>
      <c r="CJR77" s="44"/>
      <c r="CJS77" s="44"/>
      <c r="CJT77" s="44"/>
      <c r="CJU77" s="44"/>
      <c r="CJV77" s="44"/>
      <c r="CJW77" s="44"/>
      <c r="CJX77" s="44"/>
      <c r="CJY77" s="44"/>
      <c r="CJZ77" s="44"/>
      <c r="CKA77" s="44"/>
      <c r="CKB77" s="44"/>
      <c r="CKC77" s="44"/>
      <c r="CKD77" s="44"/>
      <c r="CKE77" s="44"/>
      <c r="CKF77" s="44"/>
      <c r="CKG77" s="44"/>
      <c r="CKH77" s="44"/>
      <c r="CKI77" s="44"/>
      <c r="CKJ77" s="44"/>
      <c r="CKK77" s="44"/>
      <c r="CKL77" s="44"/>
      <c r="CKM77" s="44"/>
      <c r="CKN77" s="44"/>
      <c r="CKO77" s="44"/>
      <c r="CKP77" s="44"/>
      <c r="CKQ77" s="44"/>
      <c r="CKR77" s="44"/>
      <c r="CKS77" s="44"/>
      <c r="CKT77" s="44"/>
      <c r="CKU77" s="44"/>
      <c r="CKV77" s="44"/>
      <c r="CKW77" s="44"/>
      <c r="CKX77" s="44"/>
      <c r="CKY77" s="44"/>
      <c r="CKZ77" s="44"/>
      <c r="CLA77" s="44"/>
      <c r="CLB77" s="44"/>
      <c r="CLC77" s="44"/>
      <c r="CLD77" s="44"/>
      <c r="CLE77" s="44"/>
      <c r="CLF77" s="44"/>
      <c r="CLG77" s="44"/>
      <c r="CLH77" s="44"/>
      <c r="CLI77" s="44"/>
      <c r="CLJ77" s="44"/>
      <c r="CLK77" s="44"/>
      <c r="CLL77" s="44"/>
      <c r="CLM77" s="44"/>
      <c r="CLN77" s="44"/>
      <c r="CLO77" s="44"/>
      <c r="CLP77" s="44"/>
      <c r="CLQ77" s="44"/>
      <c r="CLR77" s="44"/>
      <c r="CLS77" s="44"/>
      <c r="CLT77" s="44"/>
      <c r="CLU77" s="44"/>
      <c r="CLV77" s="44"/>
      <c r="CLW77" s="44"/>
      <c r="CLX77" s="44"/>
      <c r="CLY77" s="44"/>
      <c r="CLZ77" s="44"/>
      <c r="CMA77" s="44"/>
      <c r="CMB77" s="44"/>
      <c r="CMC77" s="44"/>
      <c r="CMD77" s="44"/>
      <c r="CME77" s="44"/>
      <c r="CMF77" s="44"/>
      <c r="CMG77" s="44"/>
      <c r="CMH77" s="44"/>
      <c r="CMI77" s="44"/>
      <c r="CMJ77" s="44"/>
      <c r="CMK77" s="44"/>
      <c r="CML77" s="44"/>
      <c r="CMM77" s="44"/>
      <c r="CMN77" s="44"/>
      <c r="CMO77" s="44"/>
      <c r="CMP77" s="44"/>
      <c r="CMQ77" s="44"/>
      <c r="CMR77" s="44"/>
      <c r="CMS77" s="44"/>
      <c r="CMT77" s="44"/>
      <c r="CMU77" s="44"/>
      <c r="CMV77" s="44"/>
      <c r="CMW77" s="44"/>
      <c r="CMX77" s="44"/>
      <c r="CMY77" s="44"/>
      <c r="CMZ77" s="44"/>
      <c r="CNA77" s="44"/>
      <c r="CNB77" s="44"/>
      <c r="CNC77" s="44"/>
      <c r="CND77" s="44"/>
      <c r="CNE77" s="44"/>
      <c r="CNF77" s="44"/>
      <c r="CNG77" s="44"/>
      <c r="CNH77" s="44"/>
      <c r="CNI77" s="44"/>
      <c r="CNJ77" s="44"/>
      <c r="CNK77" s="44"/>
      <c r="CNL77" s="44"/>
      <c r="CNM77" s="44"/>
      <c r="CNN77" s="44"/>
      <c r="CNO77" s="44"/>
      <c r="CNP77" s="44"/>
      <c r="CNQ77" s="44"/>
      <c r="CNR77" s="44"/>
      <c r="CNS77" s="44"/>
      <c r="CNT77" s="44"/>
      <c r="CNU77" s="44"/>
      <c r="CNV77" s="44"/>
      <c r="CNW77" s="44"/>
      <c r="CNX77" s="44"/>
      <c r="CNY77" s="44"/>
      <c r="CNZ77" s="44"/>
      <c r="COA77" s="44"/>
      <c r="COB77" s="44"/>
      <c r="COC77" s="44"/>
      <c r="COD77" s="44"/>
      <c r="COE77" s="44"/>
      <c r="COF77" s="44"/>
      <c r="COG77" s="44"/>
      <c r="COH77" s="44"/>
      <c r="COI77" s="44"/>
      <c r="COJ77" s="44"/>
      <c r="COK77" s="44"/>
      <c r="COL77" s="44"/>
      <c r="COM77" s="44"/>
      <c r="CON77" s="44"/>
      <c r="COO77" s="44"/>
      <c r="COP77" s="44"/>
      <c r="COQ77" s="44"/>
      <c r="COR77" s="44"/>
      <c r="COS77" s="44"/>
      <c r="COT77" s="44"/>
      <c r="COU77" s="44"/>
      <c r="COV77" s="44"/>
      <c r="COW77" s="44"/>
      <c r="COX77" s="44"/>
      <c r="COY77" s="44"/>
      <c r="COZ77" s="44"/>
      <c r="CPA77" s="44"/>
      <c r="CPB77" s="44"/>
      <c r="CPC77" s="44"/>
      <c r="CPD77" s="44"/>
      <c r="CPE77" s="44"/>
      <c r="CPF77" s="44"/>
      <c r="CPG77" s="44"/>
      <c r="CPH77" s="44"/>
      <c r="CPI77" s="44"/>
      <c r="CPJ77" s="44"/>
      <c r="CPK77" s="44"/>
      <c r="CPL77" s="44"/>
      <c r="CPM77" s="44"/>
      <c r="CPN77" s="44"/>
      <c r="CPO77" s="44"/>
      <c r="CPP77" s="44"/>
      <c r="CPQ77" s="44"/>
      <c r="CPR77" s="44"/>
      <c r="CPS77" s="44"/>
      <c r="CPT77" s="44"/>
      <c r="CPU77" s="44"/>
      <c r="CPV77" s="44"/>
      <c r="CPW77" s="44"/>
      <c r="CPX77" s="44"/>
      <c r="CPY77" s="44"/>
      <c r="CPZ77" s="44"/>
      <c r="CQA77" s="44"/>
      <c r="CQB77" s="44"/>
      <c r="CQC77" s="44"/>
      <c r="CQD77" s="44"/>
      <c r="CQE77" s="44"/>
      <c r="CQF77" s="44"/>
      <c r="CQG77" s="44"/>
      <c r="CQH77" s="44"/>
      <c r="CQI77" s="44"/>
      <c r="CQJ77" s="44"/>
      <c r="CQK77" s="44"/>
      <c r="CQL77" s="44"/>
      <c r="CQM77" s="44"/>
      <c r="CQN77" s="44"/>
      <c r="CQO77" s="44"/>
      <c r="CQP77" s="44"/>
      <c r="CQQ77" s="44"/>
      <c r="CQR77" s="44"/>
      <c r="CQS77" s="44"/>
      <c r="CQT77" s="44"/>
      <c r="CQU77" s="44"/>
      <c r="CQV77" s="44"/>
      <c r="CQW77" s="44"/>
      <c r="CQX77" s="44"/>
      <c r="CQY77" s="44"/>
      <c r="CQZ77" s="44"/>
      <c r="CRA77" s="44"/>
      <c r="CRB77" s="44"/>
      <c r="CRC77" s="44"/>
      <c r="CRD77" s="44"/>
      <c r="CRE77" s="44"/>
      <c r="CRF77" s="44"/>
      <c r="CRG77" s="44"/>
      <c r="CRH77" s="44"/>
      <c r="CRI77" s="44"/>
      <c r="CRJ77" s="44"/>
      <c r="CRK77" s="44"/>
      <c r="CRL77" s="44"/>
      <c r="CRM77" s="44"/>
      <c r="CRN77" s="44"/>
      <c r="CRO77" s="44"/>
      <c r="CRP77" s="44"/>
      <c r="CRQ77" s="44"/>
      <c r="CRR77" s="44"/>
      <c r="CRS77" s="44"/>
      <c r="CRT77" s="44"/>
      <c r="CRU77" s="44"/>
      <c r="CRV77" s="44"/>
      <c r="CRW77" s="44"/>
      <c r="CRX77" s="44"/>
      <c r="CRY77" s="44"/>
      <c r="CRZ77" s="44"/>
      <c r="CSA77" s="44"/>
      <c r="CSB77" s="44"/>
      <c r="CSC77" s="44"/>
      <c r="CSD77" s="44"/>
      <c r="CSE77" s="44"/>
      <c r="CSF77" s="44"/>
      <c r="CSG77" s="44"/>
      <c r="CSH77" s="44"/>
      <c r="CSI77" s="44"/>
      <c r="CSJ77" s="44"/>
      <c r="CSK77" s="44"/>
      <c r="CSL77" s="44"/>
      <c r="CSM77" s="44"/>
      <c r="CSN77" s="44"/>
      <c r="CSO77" s="44"/>
      <c r="CSP77" s="44"/>
      <c r="CSQ77" s="44"/>
      <c r="CSR77" s="44"/>
      <c r="CSS77" s="44"/>
      <c r="CST77" s="44"/>
      <c r="CSU77" s="44"/>
      <c r="CSV77" s="44"/>
      <c r="CSW77" s="44"/>
      <c r="CSX77" s="44"/>
      <c r="CSY77" s="44"/>
      <c r="CSZ77" s="44"/>
      <c r="CTA77" s="44"/>
      <c r="CTB77" s="44"/>
      <c r="CTC77" s="44"/>
      <c r="CTD77" s="44"/>
      <c r="CTE77" s="44"/>
      <c r="CTF77" s="44"/>
      <c r="CTG77" s="44"/>
      <c r="CTH77" s="44"/>
      <c r="CTI77" s="44"/>
      <c r="CTJ77" s="44"/>
      <c r="CTK77" s="44"/>
      <c r="CTL77" s="44"/>
      <c r="CTM77" s="44"/>
      <c r="CTN77" s="44"/>
      <c r="CTO77" s="44"/>
      <c r="CTP77" s="44"/>
      <c r="CTQ77" s="44"/>
      <c r="CTR77" s="44"/>
      <c r="CTS77" s="44"/>
      <c r="CTT77" s="44"/>
      <c r="CTU77" s="44"/>
      <c r="CTV77" s="44"/>
      <c r="CTW77" s="44"/>
      <c r="CTX77" s="44"/>
      <c r="CTY77" s="44"/>
      <c r="CTZ77" s="44"/>
      <c r="CUA77" s="44"/>
      <c r="CUB77" s="44"/>
      <c r="CUC77" s="44"/>
      <c r="CUD77" s="44"/>
      <c r="CUE77" s="44"/>
      <c r="CUF77" s="44"/>
      <c r="CUG77" s="44"/>
      <c r="CUH77" s="44"/>
      <c r="CUI77" s="44"/>
      <c r="CUJ77" s="44"/>
      <c r="CUK77" s="44"/>
      <c r="CUL77" s="44"/>
      <c r="CUM77" s="44"/>
      <c r="CUN77" s="44"/>
      <c r="CUO77" s="44"/>
      <c r="CUP77" s="44"/>
      <c r="CUQ77" s="44"/>
      <c r="CUR77" s="44"/>
      <c r="CUS77" s="44"/>
      <c r="CUT77" s="44"/>
      <c r="CUU77" s="44"/>
      <c r="CUV77" s="44"/>
      <c r="CUW77" s="44"/>
      <c r="CUX77" s="44"/>
      <c r="CUY77" s="44"/>
      <c r="CUZ77" s="44"/>
      <c r="CVA77" s="44"/>
      <c r="CVB77" s="44"/>
      <c r="CVC77" s="44"/>
      <c r="CVD77" s="44"/>
      <c r="CVE77" s="44"/>
      <c r="CVF77" s="44"/>
      <c r="CVG77" s="44"/>
      <c r="CVH77" s="44"/>
      <c r="CVI77" s="44"/>
      <c r="CVJ77" s="44"/>
      <c r="CVK77" s="44"/>
      <c r="CVL77" s="44"/>
      <c r="CVM77" s="44"/>
      <c r="CVN77" s="44"/>
      <c r="CVO77" s="44"/>
      <c r="CVP77" s="44"/>
      <c r="CVQ77" s="44"/>
      <c r="CVR77" s="44"/>
      <c r="CVS77" s="44"/>
      <c r="CVT77" s="44"/>
      <c r="CVU77" s="44"/>
      <c r="CVV77" s="44"/>
      <c r="CVW77" s="44"/>
      <c r="CVX77" s="44"/>
      <c r="CVY77" s="44"/>
      <c r="CVZ77" s="44"/>
      <c r="CWA77" s="44"/>
      <c r="CWB77" s="44"/>
      <c r="CWC77" s="44"/>
      <c r="CWD77" s="44"/>
      <c r="CWE77" s="44"/>
      <c r="CWF77" s="44"/>
      <c r="CWG77" s="44"/>
      <c r="CWH77" s="44"/>
      <c r="CWI77" s="44"/>
      <c r="CWJ77" s="44"/>
      <c r="CWK77" s="44"/>
      <c r="CWL77" s="44"/>
      <c r="CWM77" s="44"/>
      <c r="CWN77" s="44"/>
      <c r="CWO77" s="44"/>
      <c r="CWP77" s="44"/>
      <c r="CWQ77" s="44"/>
      <c r="CWR77" s="44"/>
      <c r="CWS77" s="44"/>
      <c r="CWT77" s="44"/>
      <c r="CWU77" s="44"/>
      <c r="CWV77" s="44"/>
      <c r="CWW77" s="44"/>
      <c r="CWX77" s="44"/>
      <c r="CWY77" s="44"/>
      <c r="CWZ77" s="44"/>
      <c r="CXA77" s="44"/>
      <c r="CXB77" s="44"/>
      <c r="CXC77" s="44"/>
      <c r="CXD77" s="44"/>
      <c r="CXE77" s="44"/>
      <c r="CXF77" s="44"/>
      <c r="CXG77" s="44"/>
      <c r="CXH77" s="44"/>
      <c r="CXI77" s="44"/>
      <c r="CXJ77" s="44"/>
      <c r="CXK77" s="44"/>
      <c r="CXL77" s="44"/>
      <c r="CXM77" s="44"/>
      <c r="CXN77" s="44"/>
      <c r="CXO77" s="44"/>
      <c r="CXP77" s="44"/>
      <c r="CXQ77" s="44"/>
      <c r="CXR77" s="44"/>
      <c r="CXS77" s="44"/>
      <c r="CXT77" s="44"/>
      <c r="CXU77" s="44"/>
      <c r="CXV77" s="44"/>
      <c r="CXW77" s="44"/>
      <c r="CXX77" s="44"/>
      <c r="CXY77" s="44"/>
      <c r="CXZ77" s="44"/>
      <c r="CYA77" s="44"/>
      <c r="CYB77" s="44"/>
      <c r="CYC77" s="44"/>
      <c r="CYD77" s="44"/>
      <c r="CYE77" s="44"/>
      <c r="CYF77" s="44"/>
      <c r="CYG77" s="44"/>
      <c r="CYH77" s="44"/>
      <c r="CYI77" s="44"/>
      <c r="CYJ77" s="44"/>
      <c r="CYK77" s="44"/>
      <c r="CYL77" s="44"/>
      <c r="CYM77" s="44"/>
      <c r="CYN77" s="44"/>
      <c r="CYO77" s="44"/>
      <c r="CYP77" s="44"/>
      <c r="CYQ77" s="44"/>
      <c r="CYR77" s="44"/>
      <c r="CYS77" s="44"/>
      <c r="CYT77" s="44"/>
      <c r="CYU77" s="44"/>
      <c r="CYV77" s="44"/>
      <c r="CYW77" s="44"/>
      <c r="CYX77" s="44"/>
      <c r="CYY77" s="44"/>
      <c r="CYZ77" s="44"/>
      <c r="CZA77" s="44"/>
      <c r="CZB77" s="44"/>
      <c r="CZC77" s="44"/>
      <c r="CZD77" s="44"/>
      <c r="CZE77" s="44"/>
      <c r="CZF77" s="44"/>
      <c r="CZG77" s="44"/>
      <c r="CZH77" s="44"/>
      <c r="CZI77" s="44"/>
      <c r="CZJ77" s="44"/>
      <c r="CZK77" s="44"/>
      <c r="CZL77" s="44"/>
      <c r="CZM77" s="44"/>
      <c r="CZN77" s="44"/>
      <c r="CZO77" s="44"/>
      <c r="CZP77" s="44"/>
      <c r="CZQ77" s="44"/>
      <c r="CZR77" s="44"/>
      <c r="CZS77" s="44"/>
      <c r="CZT77" s="44"/>
      <c r="CZU77" s="44"/>
      <c r="CZV77" s="44"/>
      <c r="CZW77" s="44"/>
      <c r="CZX77" s="44"/>
      <c r="CZY77" s="44"/>
      <c r="CZZ77" s="44"/>
      <c r="DAA77" s="44"/>
      <c r="DAB77" s="44"/>
      <c r="DAC77" s="44"/>
      <c r="DAD77" s="44"/>
      <c r="DAE77" s="44"/>
      <c r="DAF77" s="44"/>
      <c r="DAG77" s="44"/>
      <c r="DAH77" s="44"/>
      <c r="DAI77" s="44"/>
      <c r="DAJ77" s="44"/>
      <c r="DAK77" s="44"/>
      <c r="DAL77" s="44"/>
      <c r="DAM77" s="44"/>
      <c r="DAN77" s="44"/>
      <c r="DAO77" s="44"/>
      <c r="DAP77" s="44"/>
      <c r="DAQ77" s="44"/>
      <c r="DAR77" s="44"/>
      <c r="DAS77" s="44"/>
      <c r="DAT77" s="44"/>
      <c r="DAU77" s="44"/>
      <c r="DAV77" s="44"/>
      <c r="DAW77" s="44"/>
      <c r="DAX77" s="44"/>
      <c r="DAY77" s="44"/>
      <c r="DAZ77" s="44"/>
      <c r="DBA77" s="44"/>
      <c r="DBB77" s="44"/>
      <c r="DBC77" s="44"/>
      <c r="DBD77" s="44"/>
      <c r="DBE77" s="44"/>
      <c r="DBF77" s="44"/>
      <c r="DBG77" s="44"/>
      <c r="DBH77" s="44"/>
      <c r="DBI77" s="44"/>
      <c r="DBJ77" s="44"/>
      <c r="DBK77" s="44"/>
      <c r="DBL77" s="44"/>
      <c r="DBM77" s="44"/>
      <c r="DBN77" s="44"/>
      <c r="DBO77" s="44"/>
      <c r="DBP77" s="44"/>
      <c r="DBQ77" s="44"/>
      <c r="DBR77" s="44"/>
      <c r="DBS77" s="44"/>
      <c r="DBT77" s="44"/>
      <c r="DBU77" s="44"/>
      <c r="DBV77" s="44"/>
      <c r="DBW77" s="44"/>
      <c r="DBX77" s="44"/>
      <c r="DBY77" s="44"/>
      <c r="DBZ77" s="44"/>
      <c r="DCA77" s="44"/>
      <c r="DCB77" s="44"/>
      <c r="DCC77" s="44"/>
      <c r="DCD77" s="44"/>
      <c r="DCE77" s="44"/>
      <c r="DCF77" s="44"/>
      <c r="DCG77" s="44"/>
      <c r="DCH77" s="44"/>
      <c r="DCI77" s="44"/>
      <c r="DCJ77" s="44"/>
      <c r="DCK77" s="44"/>
      <c r="DCL77" s="44"/>
      <c r="DCM77" s="44"/>
      <c r="DCN77" s="44"/>
      <c r="DCO77" s="44"/>
      <c r="DCP77" s="44"/>
      <c r="DCQ77" s="44"/>
      <c r="DCR77" s="44"/>
      <c r="DCS77" s="44"/>
      <c r="DCT77" s="44"/>
      <c r="DCU77" s="44"/>
      <c r="DCV77" s="44"/>
      <c r="DCW77" s="44"/>
      <c r="DCX77" s="44"/>
      <c r="DCY77" s="44"/>
      <c r="DCZ77" s="44"/>
      <c r="DDA77" s="44"/>
      <c r="DDB77" s="44"/>
      <c r="DDC77" s="44"/>
      <c r="DDD77" s="44"/>
      <c r="DDE77" s="44"/>
      <c r="DDF77" s="44"/>
      <c r="DDG77" s="44"/>
      <c r="DDH77" s="44"/>
      <c r="DDI77" s="44"/>
      <c r="DDJ77" s="44"/>
      <c r="DDK77" s="44"/>
      <c r="DDL77" s="44"/>
      <c r="DDM77" s="44"/>
      <c r="DDN77" s="44"/>
      <c r="DDO77" s="44"/>
      <c r="DDP77" s="44"/>
      <c r="DDQ77" s="44"/>
      <c r="DDR77" s="44"/>
      <c r="DDS77" s="44"/>
      <c r="DDT77" s="44"/>
      <c r="DDU77" s="44"/>
      <c r="DDV77" s="44"/>
      <c r="DDW77" s="44"/>
      <c r="DDX77" s="44"/>
      <c r="DDY77" s="44"/>
      <c r="DDZ77" s="44"/>
      <c r="DEA77" s="44"/>
      <c r="DEB77" s="44"/>
      <c r="DEC77" s="44"/>
      <c r="DED77" s="44"/>
      <c r="DEE77" s="44"/>
      <c r="DEF77" s="44"/>
      <c r="DEG77" s="44"/>
      <c r="DEH77" s="44"/>
      <c r="DEI77" s="44"/>
      <c r="DEJ77" s="44"/>
      <c r="DEK77" s="44"/>
      <c r="DEL77" s="44"/>
      <c r="DEM77" s="44"/>
      <c r="DEN77" s="44"/>
      <c r="DEO77" s="44"/>
      <c r="DEP77" s="44"/>
      <c r="DEQ77" s="44"/>
      <c r="DER77" s="44"/>
      <c r="DES77" s="44"/>
      <c r="DET77" s="44"/>
      <c r="DEU77" s="44"/>
      <c r="DEV77" s="44"/>
      <c r="DEW77" s="44"/>
      <c r="DEX77" s="44"/>
      <c r="DEY77" s="44"/>
      <c r="DEZ77" s="44"/>
      <c r="DFA77" s="44"/>
      <c r="DFB77" s="44"/>
      <c r="DFC77" s="44"/>
      <c r="DFD77" s="44"/>
      <c r="DFE77" s="44"/>
      <c r="DFF77" s="44"/>
      <c r="DFG77" s="44"/>
      <c r="DFH77" s="44"/>
      <c r="DFI77" s="44"/>
      <c r="DFJ77" s="44"/>
      <c r="DFK77" s="44"/>
      <c r="DFL77" s="44"/>
      <c r="DFM77" s="44"/>
      <c r="DFN77" s="44"/>
      <c r="DFO77" s="44"/>
      <c r="DFP77" s="44"/>
      <c r="DFQ77" s="44"/>
      <c r="DFR77" s="44"/>
      <c r="DFS77" s="44"/>
      <c r="DFT77" s="44"/>
      <c r="DFU77" s="44"/>
      <c r="DFV77" s="44"/>
      <c r="DFW77" s="44"/>
      <c r="DFX77" s="44"/>
      <c r="DFY77" s="44"/>
      <c r="DFZ77" s="44"/>
      <c r="DGA77" s="44"/>
      <c r="DGB77" s="44"/>
      <c r="DGC77" s="44"/>
      <c r="DGD77" s="44"/>
      <c r="DGE77" s="44"/>
      <c r="DGF77" s="44"/>
      <c r="DGG77" s="44"/>
      <c r="DGH77" s="44"/>
      <c r="DGI77" s="44"/>
      <c r="DGJ77" s="44"/>
      <c r="DGK77" s="44"/>
      <c r="DGL77" s="44"/>
      <c r="DGM77" s="44"/>
      <c r="DGN77" s="44"/>
      <c r="DGO77" s="44"/>
      <c r="DGP77" s="44"/>
      <c r="DGQ77" s="44"/>
      <c r="DGR77" s="44"/>
      <c r="DGS77" s="44"/>
      <c r="DGT77" s="44"/>
      <c r="DGU77" s="44"/>
      <c r="DGV77" s="44"/>
      <c r="DGW77" s="44"/>
      <c r="DGX77" s="44"/>
      <c r="DGY77" s="44"/>
      <c r="DGZ77" s="44"/>
      <c r="DHA77" s="44"/>
      <c r="DHB77" s="44"/>
      <c r="DHC77" s="44"/>
      <c r="DHD77" s="44"/>
      <c r="DHE77" s="44"/>
      <c r="DHF77" s="44"/>
      <c r="DHG77" s="44"/>
      <c r="DHH77" s="44"/>
      <c r="DHI77" s="44"/>
      <c r="DHJ77" s="44"/>
      <c r="DHK77" s="44"/>
      <c r="DHL77" s="44"/>
      <c r="DHM77" s="44"/>
      <c r="DHN77" s="44"/>
      <c r="DHO77" s="44"/>
      <c r="DHP77" s="44"/>
      <c r="DHQ77" s="44"/>
      <c r="DHR77" s="44"/>
      <c r="DHS77" s="44"/>
      <c r="DHT77" s="44"/>
      <c r="DHU77" s="44"/>
      <c r="DHV77" s="44"/>
      <c r="DHW77" s="44"/>
      <c r="DHX77" s="44"/>
      <c r="DHY77" s="44"/>
      <c r="DHZ77" s="44"/>
      <c r="DIA77" s="44"/>
      <c r="DIB77" s="44"/>
      <c r="DIC77" s="44"/>
      <c r="DID77" s="44"/>
      <c r="DIE77" s="44"/>
      <c r="DIF77" s="44"/>
      <c r="DIG77" s="44"/>
      <c r="DIH77" s="44"/>
      <c r="DII77" s="44"/>
      <c r="DIJ77" s="44"/>
      <c r="DIK77" s="44"/>
      <c r="DIL77" s="44"/>
      <c r="DIM77" s="44"/>
      <c r="DIN77" s="44"/>
      <c r="DIO77" s="44"/>
      <c r="DIP77" s="44"/>
      <c r="DIQ77" s="44"/>
      <c r="DIR77" s="44"/>
      <c r="DIS77" s="44"/>
      <c r="DIT77" s="44"/>
      <c r="DIU77" s="44"/>
      <c r="DIV77" s="44"/>
      <c r="DIW77" s="44"/>
      <c r="DIX77" s="44"/>
      <c r="DIY77" s="44"/>
      <c r="DIZ77" s="44"/>
      <c r="DJA77" s="44"/>
      <c r="DJB77" s="44"/>
      <c r="DJC77" s="44"/>
      <c r="DJD77" s="44"/>
      <c r="DJE77" s="44"/>
      <c r="DJF77" s="44"/>
      <c r="DJG77" s="44"/>
      <c r="DJH77" s="44"/>
      <c r="DJI77" s="44"/>
      <c r="DJJ77" s="44"/>
      <c r="DJK77" s="44"/>
      <c r="DJL77" s="44"/>
      <c r="DJM77" s="44"/>
      <c r="DJN77" s="44"/>
      <c r="DJO77" s="44"/>
      <c r="DJP77" s="44"/>
      <c r="DJQ77" s="44"/>
      <c r="DJR77" s="44"/>
      <c r="DJS77" s="44"/>
      <c r="DJT77" s="44"/>
      <c r="DJU77" s="44"/>
      <c r="DJV77" s="44"/>
      <c r="DJW77" s="44"/>
      <c r="DJX77" s="44"/>
      <c r="DJY77" s="44"/>
      <c r="DJZ77" s="44"/>
      <c r="DKA77" s="44"/>
      <c r="DKB77" s="44"/>
      <c r="DKC77" s="44"/>
      <c r="DKD77" s="44"/>
      <c r="DKE77" s="44"/>
      <c r="DKF77" s="44"/>
      <c r="DKG77" s="44"/>
      <c r="DKH77" s="44"/>
      <c r="DKI77" s="44"/>
      <c r="DKJ77" s="44"/>
      <c r="DKK77" s="44"/>
      <c r="DKL77" s="44"/>
      <c r="DKM77" s="44"/>
      <c r="DKN77" s="44"/>
      <c r="DKO77" s="44"/>
      <c r="DKP77" s="44"/>
      <c r="DKQ77" s="44"/>
      <c r="DKR77" s="44"/>
      <c r="DKS77" s="44"/>
      <c r="DKT77" s="44"/>
      <c r="DKU77" s="44"/>
      <c r="DKV77" s="44"/>
      <c r="DKW77" s="44"/>
      <c r="DKX77" s="44"/>
      <c r="DKY77" s="44"/>
      <c r="DKZ77" s="44"/>
      <c r="DLA77" s="44"/>
      <c r="DLB77" s="44"/>
      <c r="DLC77" s="44"/>
      <c r="DLD77" s="44"/>
      <c r="DLE77" s="44"/>
      <c r="DLF77" s="44"/>
      <c r="DLG77" s="44"/>
      <c r="DLH77" s="44"/>
      <c r="DLI77" s="44"/>
      <c r="DLJ77" s="44"/>
      <c r="DLK77" s="44"/>
      <c r="DLL77" s="44"/>
      <c r="DLM77" s="44"/>
      <c r="DLN77" s="44"/>
      <c r="DLO77" s="44"/>
      <c r="DLP77" s="44"/>
      <c r="DLQ77" s="44"/>
      <c r="DLR77" s="44"/>
      <c r="DLS77" s="44"/>
      <c r="DLT77" s="44"/>
      <c r="DLU77" s="44"/>
      <c r="DLV77" s="44"/>
      <c r="DLW77" s="44"/>
      <c r="DLX77" s="44"/>
      <c r="DLY77" s="44"/>
      <c r="DLZ77" s="44"/>
      <c r="DMA77" s="44"/>
      <c r="DMB77" s="44"/>
      <c r="DMC77" s="44"/>
      <c r="DMD77" s="44"/>
      <c r="DME77" s="44"/>
      <c r="DMF77" s="44"/>
      <c r="DMG77" s="44"/>
      <c r="DMH77" s="44"/>
      <c r="DMI77" s="44"/>
      <c r="DMJ77" s="44"/>
      <c r="DMK77" s="44"/>
      <c r="DML77" s="44"/>
      <c r="DMM77" s="44"/>
      <c r="DMN77" s="44"/>
      <c r="DMO77" s="44"/>
      <c r="DMP77" s="44"/>
      <c r="DMQ77" s="44"/>
      <c r="DMR77" s="44"/>
      <c r="DMS77" s="44"/>
      <c r="DMT77" s="44"/>
      <c r="DMU77" s="44"/>
      <c r="DMV77" s="44"/>
      <c r="DMW77" s="44"/>
      <c r="DMX77" s="44"/>
      <c r="DMY77" s="44"/>
      <c r="DMZ77" s="44"/>
      <c r="DNA77" s="44"/>
      <c r="DNB77" s="44"/>
      <c r="DNC77" s="44"/>
      <c r="DND77" s="44"/>
      <c r="DNE77" s="44"/>
      <c r="DNF77" s="44"/>
      <c r="DNG77" s="44"/>
      <c r="DNH77" s="44"/>
      <c r="DNI77" s="44"/>
      <c r="DNJ77" s="44"/>
      <c r="DNK77" s="44"/>
      <c r="DNL77" s="44"/>
      <c r="DNM77" s="44"/>
      <c r="DNN77" s="44"/>
      <c r="DNO77" s="44"/>
      <c r="DNP77" s="44"/>
      <c r="DNQ77" s="44"/>
      <c r="DNR77" s="44"/>
      <c r="DNS77" s="44"/>
      <c r="DNT77" s="44"/>
      <c r="DNU77" s="44"/>
      <c r="DNV77" s="44"/>
      <c r="DNW77" s="44"/>
      <c r="DNX77" s="44"/>
      <c r="DNY77" s="44"/>
      <c r="DNZ77" s="44"/>
      <c r="DOA77" s="44"/>
      <c r="DOB77" s="44"/>
      <c r="DOC77" s="44"/>
      <c r="DOD77" s="44"/>
      <c r="DOE77" s="44"/>
      <c r="DOF77" s="44"/>
      <c r="DOG77" s="44"/>
      <c r="DOH77" s="44"/>
      <c r="DOI77" s="44"/>
      <c r="DOJ77" s="44"/>
      <c r="DOK77" s="44"/>
      <c r="DOL77" s="44"/>
      <c r="DOM77" s="44"/>
      <c r="DON77" s="44"/>
      <c r="DOO77" s="44"/>
      <c r="DOP77" s="44"/>
      <c r="DOQ77" s="44"/>
      <c r="DOR77" s="44"/>
      <c r="DOS77" s="44"/>
      <c r="DOT77" s="44"/>
      <c r="DOU77" s="44"/>
      <c r="DOV77" s="44"/>
      <c r="DOW77" s="44"/>
      <c r="DOX77" s="44"/>
      <c r="DOY77" s="44"/>
      <c r="DOZ77" s="44"/>
      <c r="DPA77" s="44"/>
      <c r="DPB77" s="44"/>
      <c r="DPC77" s="44"/>
      <c r="DPD77" s="44"/>
      <c r="DPE77" s="44"/>
      <c r="DPF77" s="44"/>
      <c r="DPG77" s="44"/>
      <c r="DPH77" s="44"/>
      <c r="DPI77" s="44"/>
      <c r="DPJ77" s="44"/>
      <c r="DPK77" s="44"/>
      <c r="DPL77" s="44"/>
      <c r="DPM77" s="44"/>
      <c r="DPN77" s="44"/>
      <c r="DPO77" s="44"/>
      <c r="DPP77" s="44"/>
      <c r="DPQ77" s="44"/>
      <c r="DPR77" s="44"/>
      <c r="DPS77" s="44"/>
      <c r="DPT77" s="44"/>
      <c r="DPU77" s="44"/>
      <c r="DPV77" s="44"/>
      <c r="DPW77" s="44"/>
      <c r="DPX77" s="44"/>
      <c r="DPY77" s="44"/>
      <c r="DPZ77" s="44"/>
      <c r="DQA77" s="44"/>
      <c r="DQB77" s="44"/>
      <c r="DQC77" s="44"/>
      <c r="DQD77" s="44"/>
      <c r="DQE77" s="44"/>
      <c r="DQF77" s="44"/>
      <c r="DQG77" s="44"/>
      <c r="DQH77" s="44"/>
      <c r="DQI77" s="44"/>
      <c r="DQJ77" s="44"/>
      <c r="DQK77" s="44"/>
      <c r="DQL77" s="44"/>
      <c r="DQM77" s="44"/>
      <c r="DQN77" s="44"/>
      <c r="DQO77" s="44"/>
      <c r="DQP77" s="44"/>
      <c r="DQQ77" s="44"/>
      <c r="DQR77" s="44"/>
      <c r="DQS77" s="44"/>
      <c r="DQT77" s="44"/>
      <c r="DQU77" s="44"/>
      <c r="DQV77" s="44"/>
      <c r="DQW77" s="44"/>
      <c r="DQX77" s="44"/>
      <c r="DQY77" s="44"/>
      <c r="DQZ77" s="44"/>
      <c r="DRA77" s="44"/>
      <c r="DRB77" s="44"/>
      <c r="DRC77" s="44"/>
      <c r="DRD77" s="44"/>
      <c r="DRE77" s="44"/>
      <c r="DRF77" s="44"/>
      <c r="DRG77" s="44"/>
      <c r="DRH77" s="44"/>
      <c r="DRI77" s="44"/>
      <c r="DRJ77" s="44"/>
      <c r="DRK77" s="44"/>
      <c r="DRL77" s="44"/>
      <c r="DRM77" s="44"/>
      <c r="DRN77" s="44"/>
      <c r="DRO77" s="44"/>
      <c r="DRP77" s="44"/>
      <c r="DRQ77" s="44"/>
      <c r="DRR77" s="44"/>
      <c r="DRS77" s="44"/>
      <c r="DRT77" s="44"/>
      <c r="DRU77" s="44"/>
      <c r="DRV77" s="44"/>
      <c r="DRW77" s="44"/>
      <c r="DRX77" s="44"/>
      <c r="DRY77" s="44"/>
      <c r="DRZ77" s="44"/>
      <c r="DSA77" s="44"/>
      <c r="DSB77" s="44"/>
      <c r="DSC77" s="44"/>
      <c r="DSD77" s="44"/>
      <c r="DSE77" s="44"/>
      <c r="DSF77" s="44"/>
      <c r="DSG77" s="44"/>
      <c r="DSH77" s="44"/>
      <c r="DSI77" s="44"/>
      <c r="DSJ77" s="44"/>
      <c r="DSK77" s="44"/>
      <c r="DSL77" s="44"/>
      <c r="DSM77" s="44"/>
      <c r="DSN77" s="44"/>
      <c r="DSO77" s="44"/>
      <c r="DSP77" s="44"/>
      <c r="DSQ77" s="44"/>
      <c r="DSR77" s="44"/>
      <c r="DSS77" s="44"/>
      <c r="DST77" s="44"/>
      <c r="DSU77" s="44"/>
      <c r="DSV77" s="44"/>
      <c r="DSW77" s="44"/>
      <c r="DSX77" s="44"/>
      <c r="DSY77" s="44"/>
      <c r="DSZ77" s="44"/>
      <c r="DTA77" s="44"/>
      <c r="DTB77" s="44"/>
      <c r="DTC77" s="44"/>
      <c r="DTD77" s="44"/>
      <c r="DTE77" s="44"/>
      <c r="DTF77" s="44"/>
      <c r="DTG77" s="44"/>
      <c r="DTH77" s="44"/>
      <c r="DTI77" s="44"/>
      <c r="DTJ77" s="44"/>
      <c r="DTK77" s="44"/>
      <c r="DTL77" s="44"/>
      <c r="DTM77" s="44"/>
      <c r="DTN77" s="44"/>
      <c r="DTO77" s="44"/>
      <c r="DTP77" s="44"/>
      <c r="DTQ77" s="44"/>
      <c r="DTR77" s="44"/>
      <c r="DTS77" s="44"/>
      <c r="DTT77" s="44"/>
      <c r="DTU77" s="44"/>
      <c r="DTV77" s="44"/>
      <c r="DTW77" s="44"/>
      <c r="DTX77" s="44"/>
      <c r="DTY77" s="44"/>
      <c r="DTZ77" s="44"/>
      <c r="DUA77" s="44"/>
      <c r="DUB77" s="44"/>
      <c r="DUC77" s="44"/>
      <c r="DUD77" s="44"/>
      <c r="DUE77" s="44"/>
      <c r="DUF77" s="44"/>
      <c r="DUG77" s="44"/>
      <c r="DUH77" s="44"/>
      <c r="DUI77" s="44"/>
      <c r="DUJ77" s="44"/>
      <c r="DUK77" s="44"/>
      <c r="DUL77" s="44"/>
      <c r="DUM77" s="44"/>
      <c r="DUN77" s="44"/>
      <c r="DUO77" s="44"/>
      <c r="DUP77" s="44"/>
      <c r="DUQ77" s="44"/>
      <c r="DUR77" s="44"/>
      <c r="DUS77" s="44"/>
      <c r="DUT77" s="44"/>
      <c r="DUU77" s="44"/>
      <c r="DUV77" s="44"/>
      <c r="DUW77" s="44"/>
      <c r="DUX77" s="44"/>
      <c r="DUY77" s="44"/>
      <c r="DUZ77" s="44"/>
      <c r="DVA77" s="44"/>
      <c r="DVB77" s="44"/>
      <c r="DVC77" s="44"/>
      <c r="DVD77" s="44"/>
      <c r="DVE77" s="44"/>
      <c r="DVF77" s="44"/>
      <c r="DVG77" s="44"/>
      <c r="DVH77" s="44"/>
      <c r="DVI77" s="44"/>
      <c r="DVJ77" s="44"/>
      <c r="DVK77" s="44"/>
      <c r="DVL77" s="44"/>
      <c r="DVM77" s="44"/>
      <c r="DVN77" s="44"/>
      <c r="DVO77" s="44"/>
      <c r="DVP77" s="44"/>
      <c r="DVQ77" s="44"/>
      <c r="DVR77" s="44"/>
      <c r="DVS77" s="44"/>
      <c r="DVT77" s="44"/>
      <c r="DVU77" s="44"/>
      <c r="DVV77" s="44"/>
      <c r="DVW77" s="44"/>
      <c r="DVX77" s="44"/>
      <c r="DVY77" s="44"/>
      <c r="DVZ77" s="44"/>
      <c r="DWA77" s="44"/>
      <c r="DWB77" s="44"/>
      <c r="DWC77" s="44"/>
      <c r="DWD77" s="44"/>
      <c r="DWE77" s="44"/>
      <c r="DWF77" s="44"/>
      <c r="DWG77" s="44"/>
      <c r="DWH77" s="44"/>
      <c r="DWI77" s="44"/>
      <c r="DWJ77" s="44"/>
      <c r="DWK77" s="44"/>
      <c r="DWL77" s="44"/>
      <c r="DWM77" s="44"/>
      <c r="DWN77" s="44"/>
      <c r="DWO77" s="44"/>
      <c r="DWP77" s="44"/>
      <c r="DWQ77" s="44"/>
      <c r="DWR77" s="44"/>
      <c r="DWS77" s="44"/>
      <c r="DWT77" s="44"/>
      <c r="DWU77" s="44"/>
      <c r="DWV77" s="44"/>
      <c r="DWW77" s="44"/>
      <c r="DWX77" s="44"/>
      <c r="DWY77" s="44"/>
      <c r="DWZ77" s="44"/>
      <c r="DXA77" s="44"/>
      <c r="DXB77" s="44"/>
      <c r="DXC77" s="44"/>
      <c r="DXD77" s="44"/>
      <c r="DXE77" s="44"/>
      <c r="DXF77" s="44"/>
      <c r="DXG77" s="44"/>
      <c r="DXH77" s="44"/>
      <c r="DXI77" s="44"/>
      <c r="DXJ77" s="44"/>
      <c r="DXK77" s="44"/>
      <c r="DXL77" s="44"/>
      <c r="DXM77" s="44"/>
      <c r="DXN77" s="44"/>
      <c r="DXO77" s="44"/>
      <c r="DXP77" s="44"/>
      <c r="DXQ77" s="44"/>
      <c r="DXR77" s="44"/>
      <c r="DXS77" s="44"/>
      <c r="DXT77" s="44"/>
      <c r="DXU77" s="44"/>
      <c r="DXV77" s="44"/>
      <c r="DXW77" s="44"/>
      <c r="DXX77" s="44"/>
      <c r="DXY77" s="44"/>
      <c r="DXZ77" s="44"/>
      <c r="DYA77" s="44"/>
      <c r="DYB77" s="44"/>
      <c r="DYC77" s="44"/>
      <c r="DYD77" s="44"/>
      <c r="DYE77" s="44"/>
      <c r="DYF77" s="44"/>
      <c r="DYG77" s="44"/>
      <c r="DYH77" s="44"/>
      <c r="DYI77" s="44"/>
      <c r="DYJ77" s="44"/>
      <c r="DYK77" s="44"/>
      <c r="DYL77" s="44"/>
      <c r="DYM77" s="44"/>
      <c r="DYN77" s="44"/>
      <c r="DYO77" s="44"/>
      <c r="DYP77" s="44"/>
      <c r="DYQ77" s="44"/>
      <c r="DYR77" s="44"/>
      <c r="DYS77" s="44"/>
      <c r="DYT77" s="44"/>
      <c r="DYU77" s="44"/>
      <c r="DYV77" s="44"/>
      <c r="DYW77" s="44"/>
      <c r="DYX77" s="44"/>
      <c r="DYY77" s="44"/>
      <c r="DYZ77" s="44"/>
      <c r="DZA77" s="44"/>
      <c r="DZB77" s="44"/>
      <c r="DZC77" s="44"/>
      <c r="DZD77" s="44"/>
      <c r="DZE77" s="44"/>
      <c r="DZF77" s="44"/>
      <c r="DZG77" s="44"/>
      <c r="DZH77" s="44"/>
      <c r="DZI77" s="44"/>
      <c r="DZJ77" s="44"/>
      <c r="DZK77" s="44"/>
      <c r="DZL77" s="44"/>
      <c r="DZM77" s="44"/>
      <c r="DZN77" s="44"/>
      <c r="DZO77" s="44"/>
      <c r="DZP77" s="44"/>
      <c r="DZQ77" s="44"/>
      <c r="DZR77" s="44"/>
      <c r="DZS77" s="44"/>
      <c r="DZT77" s="44"/>
      <c r="DZU77" s="44"/>
      <c r="DZV77" s="44"/>
      <c r="DZW77" s="44"/>
      <c r="DZX77" s="44"/>
      <c r="DZY77" s="44"/>
      <c r="DZZ77" s="44"/>
      <c r="EAA77" s="44"/>
      <c r="EAB77" s="44"/>
      <c r="EAC77" s="44"/>
      <c r="EAD77" s="44"/>
      <c r="EAE77" s="44"/>
      <c r="EAF77" s="44"/>
      <c r="EAG77" s="44"/>
      <c r="EAH77" s="44"/>
      <c r="EAI77" s="44"/>
      <c r="EAJ77" s="44"/>
      <c r="EAK77" s="44"/>
      <c r="EAL77" s="44"/>
      <c r="EAM77" s="44"/>
      <c r="EAN77" s="44"/>
      <c r="EAO77" s="44"/>
      <c r="EAP77" s="44"/>
      <c r="EAQ77" s="44"/>
      <c r="EAR77" s="44"/>
      <c r="EAS77" s="44"/>
      <c r="EAT77" s="44"/>
      <c r="EAU77" s="44"/>
      <c r="EAV77" s="44"/>
      <c r="EAW77" s="44"/>
      <c r="EAX77" s="44"/>
      <c r="EAY77" s="44"/>
      <c r="EAZ77" s="44"/>
      <c r="EBA77" s="44"/>
      <c r="EBB77" s="44"/>
      <c r="EBC77" s="44"/>
      <c r="EBD77" s="44"/>
      <c r="EBE77" s="44"/>
      <c r="EBF77" s="44"/>
      <c r="EBG77" s="44"/>
      <c r="EBH77" s="44"/>
      <c r="EBI77" s="44"/>
      <c r="EBJ77" s="44"/>
      <c r="EBK77" s="44"/>
      <c r="EBL77" s="44"/>
      <c r="EBM77" s="44"/>
      <c r="EBN77" s="44"/>
      <c r="EBO77" s="44"/>
      <c r="EBP77" s="44"/>
      <c r="EBQ77" s="44"/>
      <c r="EBR77" s="44"/>
      <c r="EBS77" s="44"/>
      <c r="EBT77" s="44"/>
      <c r="EBU77" s="44"/>
      <c r="EBV77" s="44"/>
      <c r="EBW77" s="44"/>
      <c r="EBX77" s="44"/>
      <c r="EBY77" s="44"/>
      <c r="EBZ77" s="44"/>
      <c r="ECA77" s="44"/>
      <c r="ECB77" s="44"/>
      <c r="ECC77" s="44"/>
      <c r="ECD77" s="44"/>
      <c r="ECE77" s="44"/>
      <c r="ECF77" s="44"/>
      <c r="ECG77" s="44"/>
      <c r="ECH77" s="44"/>
      <c r="ECI77" s="44"/>
      <c r="ECJ77" s="44"/>
      <c r="ECK77" s="44"/>
      <c r="ECL77" s="44"/>
      <c r="ECM77" s="44"/>
      <c r="ECN77" s="44"/>
      <c r="ECO77" s="44"/>
      <c r="ECP77" s="44"/>
      <c r="ECQ77" s="44"/>
      <c r="ECR77" s="44"/>
      <c r="ECS77" s="44"/>
      <c r="ECT77" s="44"/>
      <c r="ECU77" s="44"/>
      <c r="ECV77" s="44"/>
      <c r="ECW77" s="44"/>
      <c r="ECX77" s="44"/>
      <c r="ECY77" s="44"/>
      <c r="ECZ77" s="44"/>
      <c r="EDA77" s="44"/>
      <c r="EDB77" s="44"/>
      <c r="EDC77" s="44"/>
      <c r="EDD77" s="44"/>
      <c r="EDE77" s="44"/>
      <c r="EDF77" s="44"/>
      <c r="EDG77" s="44"/>
      <c r="EDH77" s="44"/>
      <c r="EDI77" s="44"/>
      <c r="EDJ77" s="44"/>
      <c r="EDK77" s="44"/>
      <c r="EDL77" s="44"/>
      <c r="EDM77" s="44"/>
      <c r="EDN77" s="44"/>
      <c r="EDO77" s="44"/>
      <c r="EDP77" s="44"/>
      <c r="EDQ77" s="44"/>
      <c r="EDR77" s="44"/>
      <c r="EDS77" s="44"/>
      <c r="EDT77" s="44"/>
      <c r="EDU77" s="44"/>
      <c r="EDV77" s="44"/>
      <c r="EDW77" s="44"/>
      <c r="EDX77" s="44"/>
      <c r="EDY77" s="44"/>
      <c r="EDZ77" s="44"/>
      <c r="EEA77" s="44"/>
      <c r="EEB77" s="44"/>
      <c r="EEC77" s="44"/>
      <c r="EED77" s="44"/>
      <c r="EEE77" s="44"/>
      <c r="EEF77" s="44"/>
      <c r="EEG77" s="44"/>
      <c r="EEH77" s="44"/>
      <c r="EEI77" s="44"/>
      <c r="EEJ77" s="44"/>
      <c r="EEK77" s="44"/>
      <c r="EEL77" s="44"/>
      <c r="EEM77" s="44"/>
      <c r="EEN77" s="44"/>
      <c r="EEO77" s="44"/>
      <c r="EEP77" s="44"/>
      <c r="EEQ77" s="44"/>
      <c r="EER77" s="44"/>
      <c r="EES77" s="44"/>
      <c r="EET77" s="44"/>
      <c r="EEU77" s="44"/>
      <c r="EEV77" s="44"/>
      <c r="EEW77" s="44"/>
      <c r="EEX77" s="44"/>
      <c r="EEY77" s="44"/>
      <c r="EEZ77" s="44"/>
      <c r="EFA77" s="44"/>
      <c r="EFB77" s="44"/>
      <c r="EFC77" s="44"/>
      <c r="EFD77" s="44"/>
      <c r="EFE77" s="44"/>
      <c r="EFF77" s="44"/>
      <c r="EFG77" s="44"/>
      <c r="EFH77" s="44"/>
      <c r="EFI77" s="44"/>
      <c r="EFJ77" s="44"/>
      <c r="EFK77" s="44"/>
      <c r="EFL77" s="44"/>
      <c r="EFM77" s="44"/>
      <c r="EFN77" s="44"/>
      <c r="EFO77" s="44"/>
      <c r="EFP77" s="44"/>
      <c r="EFQ77" s="44"/>
      <c r="EFR77" s="44"/>
      <c r="EFS77" s="44"/>
      <c r="EFT77" s="44"/>
      <c r="EFU77" s="44"/>
      <c r="EFV77" s="44"/>
      <c r="EFW77" s="44"/>
      <c r="EFX77" s="44"/>
      <c r="EFY77" s="44"/>
      <c r="EFZ77" s="44"/>
      <c r="EGA77" s="44"/>
      <c r="EGB77" s="44"/>
      <c r="EGC77" s="44"/>
      <c r="EGD77" s="44"/>
      <c r="EGE77" s="44"/>
      <c r="EGF77" s="44"/>
      <c r="EGG77" s="44"/>
      <c r="EGH77" s="44"/>
      <c r="EGI77" s="44"/>
      <c r="EGJ77" s="44"/>
      <c r="EGK77" s="44"/>
      <c r="EGL77" s="44"/>
      <c r="EGM77" s="44"/>
      <c r="EGN77" s="44"/>
      <c r="EGO77" s="44"/>
      <c r="EGP77" s="44"/>
      <c r="EGQ77" s="44"/>
      <c r="EGR77" s="44"/>
      <c r="EGS77" s="44"/>
      <c r="EGT77" s="44"/>
      <c r="EGU77" s="44"/>
      <c r="EGV77" s="44"/>
      <c r="EGW77" s="44"/>
      <c r="EGX77" s="44"/>
      <c r="EGY77" s="44"/>
      <c r="EGZ77" s="44"/>
      <c r="EHA77" s="44"/>
      <c r="EHB77" s="44"/>
      <c r="EHC77" s="44"/>
      <c r="EHD77" s="44"/>
      <c r="EHE77" s="44"/>
      <c r="EHF77" s="44"/>
      <c r="EHG77" s="44"/>
      <c r="EHH77" s="44"/>
      <c r="EHI77" s="44"/>
      <c r="EHJ77" s="44"/>
      <c r="EHK77" s="44"/>
      <c r="EHL77" s="44"/>
      <c r="EHM77" s="44"/>
      <c r="EHN77" s="44"/>
      <c r="EHO77" s="44"/>
      <c r="EHP77" s="44"/>
      <c r="EHQ77" s="44"/>
      <c r="EHR77" s="44"/>
      <c r="EHS77" s="44"/>
      <c r="EHT77" s="44"/>
      <c r="EHU77" s="44"/>
      <c r="EHV77" s="44"/>
      <c r="EHW77" s="44"/>
      <c r="EHX77" s="44"/>
      <c r="EHY77" s="44"/>
      <c r="EHZ77" s="44"/>
      <c r="EIA77" s="44"/>
      <c r="EIB77" s="44"/>
      <c r="EIC77" s="44"/>
      <c r="EID77" s="44"/>
      <c r="EIE77" s="44"/>
      <c r="EIF77" s="44"/>
      <c r="EIG77" s="44"/>
      <c r="EIH77" s="44"/>
      <c r="EII77" s="44"/>
      <c r="EIJ77" s="44"/>
      <c r="EIK77" s="44"/>
      <c r="EIL77" s="44"/>
      <c r="EIM77" s="44"/>
      <c r="EIN77" s="44"/>
      <c r="EIO77" s="44"/>
      <c r="EIP77" s="44"/>
      <c r="EIQ77" s="44"/>
      <c r="EIR77" s="44"/>
      <c r="EIS77" s="44"/>
      <c r="EIT77" s="44"/>
      <c r="EIU77" s="44"/>
      <c r="EIV77" s="44"/>
      <c r="EIW77" s="44"/>
      <c r="EIX77" s="44"/>
      <c r="EIY77" s="44"/>
      <c r="EIZ77" s="44"/>
      <c r="EJA77" s="44"/>
      <c r="EJB77" s="44"/>
      <c r="EJC77" s="44"/>
      <c r="EJD77" s="44"/>
      <c r="EJE77" s="44"/>
      <c r="EJF77" s="44"/>
      <c r="EJG77" s="44"/>
      <c r="EJH77" s="44"/>
      <c r="EJI77" s="44"/>
      <c r="EJJ77" s="44"/>
      <c r="EJK77" s="44"/>
      <c r="EJL77" s="44"/>
      <c r="EJM77" s="44"/>
      <c r="EJN77" s="44"/>
      <c r="EJO77" s="44"/>
      <c r="EJP77" s="44"/>
      <c r="EJQ77" s="44"/>
      <c r="EJR77" s="44"/>
      <c r="EJS77" s="44"/>
      <c r="EJT77" s="44"/>
      <c r="EJU77" s="44"/>
      <c r="EJV77" s="44"/>
      <c r="EJW77" s="44"/>
      <c r="EJX77" s="44"/>
      <c r="EJY77" s="44"/>
      <c r="EJZ77" s="44"/>
      <c r="EKA77" s="44"/>
      <c r="EKB77" s="44"/>
      <c r="EKC77" s="44"/>
      <c r="EKD77" s="44"/>
      <c r="EKE77" s="44"/>
      <c r="EKF77" s="44"/>
      <c r="EKG77" s="44"/>
      <c r="EKH77" s="44"/>
      <c r="EKI77" s="44"/>
      <c r="EKJ77" s="44"/>
      <c r="EKK77" s="44"/>
      <c r="EKL77" s="44"/>
      <c r="EKM77" s="44"/>
      <c r="EKN77" s="44"/>
      <c r="EKO77" s="44"/>
      <c r="EKP77" s="44"/>
      <c r="EKQ77" s="44"/>
      <c r="EKR77" s="44"/>
      <c r="EKS77" s="44"/>
      <c r="EKT77" s="44"/>
      <c r="EKU77" s="44"/>
      <c r="EKV77" s="44"/>
      <c r="EKW77" s="44"/>
      <c r="EKX77" s="44"/>
      <c r="EKY77" s="44"/>
      <c r="EKZ77" s="44"/>
      <c r="ELA77" s="44"/>
      <c r="ELB77" s="44"/>
      <c r="ELC77" s="44"/>
      <c r="ELD77" s="44"/>
      <c r="ELE77" s="44"/>
      <c r="ELF77" s="44"/>
      <c r="ELG77" s="44"/>
      <c r="ELH77" s="44"/>
      <c r="ELI77" s="44"/>
      <c r="ELJ77" s="44"/>
      <c r="ELK77" s="44"/>
      <c r="ELL77" s="44"/>
      <c r="ELM77" s="44"/>
      <c r="ELN77" s="44"/>
      <c r="ELO77" s="44"/>
      <c r="ELP77" s="44"/>
      <c r="ELQ77" s="44"/>
      <c r="ELR77" s="44"/>
      <c r="ELS77" s="44"/>
      <c r="ELT77" s="44"/>
      <c r="ELU77" s="44"/>
      <c r="ELV77" s="44"/>
      <c r="ELW77" s="44"/>
      <c r="ELX77" s="44"/>
      <c r="ELY77" s="44"/>
      <c r="ELZ77" s="44"/>
      <c r="EMA77" s="44"/>
      <c r="EMB77" s="44"/>
      <c r="EMC77" s="44"/>
      <c r="EMD77" s="44"/>
      <c r="EME77" s="44"/>
      <c r="EMF77" s="44"/>
      <c r="EMG77" s="44"/>
      <c r="EMH77" s="44"/>
      <c r="EMI77" s="44"/>
      <c r="EMJ77" s="44"/>
      <c r="EMK77" s="44"/>
      <c r="EML77" s="44"/>
      <c r="EMM77" s="44"/>
      <c r="EMN77" s="44"/>
      <c r="EMO77" s="44"/>
      <c r="EMP77" s="44"/>
      <c r="EMQ77" s="44"/>
      <c r="EMR77" s="44"/>
      <c r="EMS77" s="44"/>
      <c r="EMT77" s="44"/>
      <c r="EMU77" s="44"/>
      <c r="EMV77" s="44"/>
      <c r="EMW77" s="44"/>
      <c r="EMX77" s="44"/>
      <c r="EMY77" s="44"/>
      <c r="EMZ77" s="44"/>
      <c r="ENA77" s="44"/>
      <c r="ENB77" s="44"/>
      <c r="ENC77" s="44"/>
      <c r="END77" s="44"/>
      <c r="ENE77" s="44"/>
      <c r="ENF77" s="44"/>
      <c r="ENG77" s="44"/>
      <c r="ENH77" s="44"/>
      <c r="ENI77" s="44"/>
      <c r="ENJ77" s="44"/>
      <c r="ENK77" s="44"/>
      <c r="ENL77" s="44"/>
      <c r="ENM77" s="44"/>
      <c r="ENN77" s="44"/>
      <c r="ENO77" s="44"/>
      <c r="ENP77" s="44"/>
      <c r="ENQ77" s="44"/>
      <c r="ENR77" s="44"/>
      <c r="ENS77" s="44"/>
      <c r="ENT77" s="44"/>
      <c r="ENU77" s="44"/>
      <c r="ENV77" s="44"/>
      <c r="ENW77" s="44"/>
      <c r="ENX77" s="44"/>
      <c r="ENY77" s="44"/>
      <c r="ENZ77" s="44"/>
      <c r="EOA77" s="44"/>
      <c r="EOB77" s="44"/>
      <c r="EOC77" s="44"/>
      <c r="EOD77" s="44"/>
      <c r="EOE77" s="44"/>
      <c r="EOF77" s="44"/>
      <c r="EOG77" s="44"/>
      <c r="EOH77" s="44"/>
      <c r="EOI77" s="44"/>
      <c r="EOJ77" s="44"/>
      <c r="EOK77" s="44"/>
      <c r="EOL77" s="44"/>
      <c r="EOM77" s="44"/>
      <c r="EON77" s="44"/>
      <c r="EOO77" s="44"/>
      <c r="EOP77" s="44"/>
      <c r="EOQ77" s="44"/>
      <c r="EOR77" s="44"/>
      <c r="EOS77" s="44"/>
      <c r="EOT77" s="44"/>
      <c r="EOU77" s="44"/>
      <c r="EOV77" s="44"/>
      <c r="EOW77" s="44"/>
      <c r="EOX77" s="44"/>
      <c r="EOY77" s="44"/>
      <c r="EOZ77" s="44"/>
      <c r="EPA77" s="44"/>
      <c r="EPB77" s="44"/>
      <c r="EPC77" s="44"/>
      <c r="EPD77" s="44"/>
      <c r="EPE77" s="44"/>
      <c r="EPF77" s="44"/>
      <c r="EPG77" s="44"/>
      <c r="EPH77" s="44"/>
      <c r="EPI77" s="44"/>
      <c r="EPJ77" s="44"/>
      <c r="EPK77" s="44"/>
      <c r="EPL77" s="44"/>
      <c r="EPM77" s="44"/>
      <c r="EPN77" s="44"/>
      <c r="EPO77" s="44"/>
      <c r="EPP77" s="44"/>
      <c r="EPQ77" s="44"/>
      <c r="EPR77" s="44"/>
      <c r="EPS77" s="44"/>
      <c r="EPT77" s="44"/>
      <c r="EPU77" s="44"/>
      <c r="EPV77" s="44"/>
      <c r="EPW77" s="44"/>
      <c r="EPX77" s="44"/>
      <c r="EPY77" s="44"/>
      <c r="EPZ77" s="44"/>
      <c r="EQA77" s="44"/>
      <c r="EQB77" s="44"/>
      <c r="EQC77" s="44"/>
      <c r="EQD77" s="44"/>
      <c r="EQE77" s="44"/>
      <c r="EQF77" s="44"/>
      <c r="EQG77" s="44"/>
      <c r="EQH77" s="44"/>
      <c r="EQI77" s="44"/>
      <c r="EQJ77" s="44"/>
      <c r="EQK77" s="44"/>
      <c r="EQL77" s="44"/>
      <c r="EQM77" s="44"/>
      <c r="EQN77" s="44"/>
      <c r="EQO77" s="44"/>
      <c r="EQP77" s="44"/>
      <c r="EQQ77" s="44"/>
      <c r="EQR77" s="44"/>
      <c r="EQS77" s="44"/>
      <c r="EQT77" s="44"/>
      <c r="EQU77" s="44"/>
      <c r="EQV77" s="44"/>
      <c r="EQW77" s="44"/>
      <c r="EQX77" s="44"/>
      <c r="EQY77" s="44"/>
      <c r="EQZ77" s="44"/>
      <c r="ERA77" s="44"/>
      <c r="ERB77" s="44"/>
      <c r="ERC77" s="44"/>
      <c r="ERD77" s="44"/>
      <c r="ERE77" s="44"/>
      <c r="ERF77" s="44"/>
      <c r="ERG77" s="44"/>
      <c r="ERH77" s="44"/>
      <c r="ERI77" s="44"/>
      <c r="ERJ77" s="44"/>
      <c r="ERK77" s="44"/>
      <c r="ERL77" s="44"/>
      <c r="ERM77" s="44"/>
      <c r="ERN77" s="44"/>
      <c r="ERO77" s="44"/>
      <c r="ERP77" s="44"/>
      <c r="ERQ77" s="44"/>
      <c r="ERR77" s="44"/>
      <c r="ERS77" s="44"/>
      <c r="ERT77" s="44"/>
      <c r="ERU77" s="44"/>
      <c r="ERV77" s="44"/>
      <c r="ERW77" s="44"/>
      <c r="ERX77" s="44"/>
      <c r="ERY77" s="44"/>
      <c r="ERZ77" s="44"/>
      <c r="ESA77" s="44"/>
      <c r="ESB77" s="44"/>
      <c r="ESC77" s="44"/>
      <c r="ESD77" s="44"/>
      <c r="ESE77" s="44"/>
      <c r="ESF77" s="44"/>
      <c r="ESG77" s="44"/>
      <c r="ESH77" s="44"/>
      <c r="ESI77" s="44"/>
      <c r="ESJ77" s="44"/>
      <c r="ESK77" s="44"/>
      <c r="ESL77" s="44"/>
      <c r="ESM77" s="44"/>
      <c r="ESN77" s="44"/>
      <c r="ESO77" s="44"/>
      <c r="ESP77" s="44"/>
      <c r="ESQ77" s="44"/>
      <c r="ESR77" s="44"/>
      <c r="ESS77" s="44"/>
      <c r="EST77" s="44"/>
      <c r="ESU77" s="44"/>
      <c r="ESV77" s="44"/>
      <c r="ESW77" s="44"/>
      <c r="ESX77" s="44"/>
      <c r="ESY77" s="44"/>
      <c r="ESZ77" s="44"/>
      <c r="ETA77" s="44"/>
      <c r="ETB77" s="44"/>
      <c r="ETC77" s="44"/>
      <c r="ETD77" s="44"/>
      <c r="ETE77" s="44"/>
      <c r="ETF77" s="44"/>
      <c r="ETG77" s="44"/>
      <c r="ETH77" s="44"/>
      <c r="ETI77" s="44"/>
      <c r="ETJ77" s="44"/>
      <c r="ETK77" s="44"/>
      <c r="ETL77" s="44"/>
      <c r="ETM77" s="44"/>
      <c r="ETN77" s="44"/>
      <c r="ETO77" s="44"/>
      <c r="ETP77" s="44"/>
      <c r="ETQ77" s="44"/>
      <c r="ETR77" s="44"/>
      <c r="ETS77" s="44"/>
      <c r="ETT77" s="44"/>
      <c r="ETU77" s="44"/>
      <c r="ETV77" s="44"/>
      <c r="ETW77" s="44"/>
      <c r="ETX77" s="44"/>
      <c r="ETY77" s="44"/>
      <c r="ETZ77" s="44"/>
      <c r="EUA77" s="44"/>
      <c r="EUB77" s="44"/>
      <c r="EUC77" s="44"/>
      <c r="EUD77" s="44"/>
      <c r="EUE77" s="44"/>
      <c r="EUF77" s="44"/>
      <c r="EUG77" s="44"/>
      <c r="EUH77" s="44"/>
      <c r="EUI77" s="44"/>
      <c r="EUJ77" s="44"/>
      <c r="EUK77" s="44"/>
      <c r="EUL77" s="44"/>
      <c r="EUM77" s="44"/>
      <c r="EUN77" s="44"/>
      <c r="EUO77" s="44"/>
      <c r="EUP77" s="44"/>
      <c r="EUQ77" s="44"/>
      <c r="EUR77" s="44"/>
      <c r="EUS77" s="44"/>
      <c r="EUT77" s="44"/>
      <c r="EUU77" s="44"/>
      <c r="EUV77" s="44"/>
      <c r="EUW77" s="44"/>
      <c r="EUX77" s="44"/>
      <c r="EUY77" s="44"/>
      <c r="EUZ77" s="44"/>
      <c r="EVA77" s="44"/>
      <c r="EVB77" s="44"/>
      <c r="EVC77" s="44"/>
      <c r="EVD77" s="44"/>
      <c r="EVE77" s="44"/>
      <c r="EVF77" s="44"/>
      <c r="EVG77" s="44"/>
      <c r="EVH77" s="44"/>
      <c r="EVI77" s="44"/>
      <c r="EVJ77" s="44"/>
      <c r="EVK77" s="44"/>
      <c r="EVL77" s="44"/>
      <c r="EVM77" s="44"/>
      <c r="EVN77" s="44"/>
      <c r="EVO77" s="44"/>
      <c r="EVP77" s="44"/>
      <c r="EVQ77" s="44"/>
      <c r="EVR77" s="44"/>
      <c r="EVS77" s="44"/>
      <c r="EVT77" s="44"/>
      <c r="EVU77" s="44"/>
      <c r="EVV77" s="44"/>
      <c r="EVW77" s="44"/>
      <c r="EVX77" s="44"/>
      <c r="EVY77" s="44"/>
      <c r="EVZ77" s="44"/>
      <c r="EWA77" s="44"/>
      <c r="EWB77" s="44"/>
      <c r="EWC77" s="44"/>
      <c r="EWD77" s="44"/>
      <c r="EWE77" s="44"/>
      <c r="EWF77" s="44"/>
      <c r="EWG77" s="44"/>
      <c r="EWH77" s="44"/>
      <c r="EWI77" s="44"/>
      <c r="EWJ77" s="44"/>
      <c r="EWK77" s="44"/>
      <c r="EWL77" s="44"/>
      <c r="EWM77" s="44"/>
      <c r="EWN77" s="44"/>
      <c r="EWO77" s="44"/>
      <c r="EWP77" s="44"/>
      <c r="EWQ77" s="44"/>
      <c r="EWR77" s="44"/>
      <c r="EWS77" s="44"/>
      <c r="EWT77" s="44"/>
      <c r="EWU77" s="44"/>
      <c r="EWV77" s="44"/>
      <c r="EWW77" s="44"/>
      <c r="EWX77" s="44"/>
      <c r="EWY77" s="44"/>
      <c r="EWZ77" s="44"/>
      <c r="EXA77" s="44"/>
      <c r="EXB77" s="44"/>
      <c r="EXC77" s="44"/>
      <c r="EXD77" s="44"/>
      <c r="EXE77" s="44"/>
      <c r="EXF77" s="44"/>
      <c r="EXG77" s="44"/>
      <c r="EXH77" s="44"/>
      <c r="EXI77" s="44"/>
      <c r="EXJ77" s="44"/>
      <c r="EXK77" s="44"/>
      <c r="EXL77" s="44"/>
      <c r="EXM77" s="44"/>
      <c r="EXN77" s="44"/>
      <c r="EXO77" s="44"/>
      <c r="EXP77" s="44"/>
      <c r="EXQ77" s="44"/>
      <c r="EXR77" s="44"/>
      <c r="EXS77" s="44"/>
      <c r="EXT77" s="44"/>
      <c r="EXU77" s="44"/>
      <c r="EXV77" s="44"/>
      <c r="EXW77" s="44"/>
      <c r="EXX77" s="44"/>
      <c r="EXY77" s="44"/>
      <c r="EXZ77" s="44"/>
      <c r="EYA77" s="44"/>
      <c r="EYB77" s="44"/>
      <c r="EYC77" s="44"/>
      <c r="EYD77" s="44"/>
      <c r="EYE77" s="44"/>
      <c r="EYF77" s="44"/>
      <c r="EYG77" s="44"/>
      <c r="EYH77" s="44"/>
      <c r="EYI77" s="44"/>
      <c r="EYJ77" s="44"/>
      <c r="EYK77" s="44"/>
      <c r="EYL77" s="44"/>
      <c r="EYM77" s="44"/>
      <c r="EYN77" s="44"/>
      <c r="EYO77" s="44"/>
      <c r="EYP77" s="44"/>
      <c r="EYQ77" s="44"/>
      <c r="EYR77" s="44"/>
      <c r="EYS77" s="44"/>
      <c r="EYT77" s="44"/>
      <c r="EYU77" s="44"/>
      <c r="EYV77" s="44"/>
      <c r="EYW77" s="44"/>
      <c r="EYX77" s="44"/>
      <c r="EYY77" s="44"/>
      <c r="EYZ77" s="44"/>
      <c r="EZA77" s="44"/>
      <c r="EZB77" s="44"/>
      <c r="EZC77" s="44"/>
      <c r="EZD77" s="44"/>
      <c r="EZE77" s="44"/>
      <c r="EZF77" s="44"/>
      <c r="EZG77" s="44"/>
      <c r="EZH77" s="44"/>
      <c r="EZI77" s="44"/>
      <c r="EZJ77" s="44"/>
      <c r="EZK77" s="44"/>
      <c r="EZL77" s="44"/>
      <c r="EZM77" s="44"/>
      <c r="EZN77" s="44"/>
      <c r="EZO77" s="44"/>
      <c r="EZP77" s="44"/>
      <c r="EZQ77" s="44"/>
      <c r="EZR77" s="44"/>
      <c r="EZS77" s="44"/>
      <c r="EZT77" s="44"/>
      <c r="EZU77" s="44"/>
      <c r="EZV77" s="44"/>
      <c r="EZW77" s="44"/>
      <c r="EZX77" s="44"/>
      <c r="EZY77" s="44"/>
      <c r="EZZ77" s="44"/>
      <c r="FAA77" s="44"/>
      <c r="FAB77" s="44"/>
      <c r="FAC77" s="44"/>
      <c r="FAD77" s="44"/>
      <c r="FAE77" s="44"/>
      <c r="FAF77" s="44"/>
      <c r="FAG77" s="44"/>
      <c r="FAH77" s="44"/>
      <c r="FAI77" s="44"/>
      <c r="FAJ77" s="44"/>
      <c r="FAK77" s="44"/>
      <c r="FAL77" s="44"/>
      <c r="FAM77" s="44"/>
      <c r="FAN77" s="44"/>
      <c r="FAO77" s="44"/>
      <c r="FAP77" s="44"/>
      <c r="FAQ77" s="44"/>
      <c r="FAR77" s="44"/>
      <c r="FAS77" s="44"/>
      <c r="FAT77" s="44"/>
      <c r="FAU77" s="44"/>
      <c r="FAV77" s="44"/>
      <c r="FAW77" s="44"/>
      <c r="FAX77" s="44"/>
      <c r="FAY77" s="44"/>
      <c r="FAZ77" s="44"/>
      <c r="FBA77" s="44"/>
      <c r="FBB77" s="44"/>
      <c r="FBC77" s="44"/>
      <c r="FBD77" s="44"/>
      <c r="FBE77" s="44"/>
      <c r="FBF77" s="44"/>
      <c r="FBG77" s="44"/>
      <c r="FBH77" s="44"/>
      <c r="FBI77" s="44"/>
      <c r="FBJ77" s="44"/>
      <c r="FBK77" s="44"/>
      <c r="FBL77" s="44"/>
      <c r="FBM77" s="44"/>
      <c r="FBN77" s="44"/>
      <c r="FBO77" s="44"/>
      <c r="FBP77" s="44"/>
      <c r="FBQ77" s="44"/>
      <c r="FBR77" s="44"/>
      <c r="FBS77" s="44"/>
      <c r="FBT77" s="44"/>
      <c r="FBU77" s="44"/>
      <c r="FBV77" s="44"/>
      <c r="FBW77" s="44"/>
      <c r="FBX77" s="44"/>
      <c r="FBY77" s="44"/>
      <c r="FBZ77" s="44"/>
      <c r="FCA77" s="44"/>
      <c r="FCB77" s="44"/>
      <c r="FCC77" s="44"/>
      <c r="FCD77" s="44"/>
      <c r="FCE77" s="44"/>
      <c r="FCF77" s="44"/>
      <c r="FCG77" s="44"/>
      <c r="FCH77" s="44"/>
      <c r="FCI77" s="44"/>
      <c r="FCJ77" s="44"/>
      <c r="FCK77" s="44"/>
      <c r="FCL77" s="44"/>
      <c r="FCM77" s="44"/>
      <c r="FCN77" s="44"/>
      <c r="FCO77" s="44"/>
      <c r="FCP77" s="44"/>
      <c r="FCQ77" s="44"/>
      <c r="FCR77" s="44"/>
      <c r="FCS77" s="44"/>
      <c r="FCT77" s="44"/>
      <c r="FCU77" s="44"/>
      <c r="FCV77" s="44"/>
      <c r="FCW77" s="44"/>
      <c r="FCX77" s="44"/>
      <c r="FCY77" s="44"/>
      <c r="FCZ77" s="44"/>
      <c r="FDA77" s="44"/>
      <c r="FDB77" s="44"/>
      <c r="FDC77" s="44"/>
      <c r="FDD77" s="44"/>
      <c r="FDE77" s="44"/>
      <c r="FDF77" s="44"/>
      <c r="FDG77" s="44"/>
      <c r="FDH77" s="44"/>
      <c r="FDI77" s="44"/>
      <c r="FDJ77" s="44"/>
      <c r="FDK77" s="44"/>
      <c r="FDL77" s="44"/>
      <c r="FDM77" s="44"/>
      <c r="FDN77" s="44"/>
      <c r="FDO77" s="44"/>
      <c r="FDP77" s="44"/>
      <c r="FDQ77" s="44"/>
      <c r="FDR77" s="44"/>
      <c r="FDS77" s="44"/>
      <c r="FDT77" s="44"/>
      <c r="FDU77" s="44"/>
      <c r="FDV77" s="44"/>
      <c r="FDW77" s="44"/>
      <c r="FDX77" s="44"/>
      <c r="FDY77" s="44"/>
      <c r="FDZ77" s="44"/>
      <c r="FEA77" s="44"/>
      <c r="FEB77" s="44"/>
      <c r="FEC77" s="44"/>
      <c r="FED77" s="44"/>
      <c r="FEE77" s="44"/>
      <c r="FEF77" s="44"/>
      <c r="FEG77" s="44"/>
      <c r="FEH77" s="44"/>
      <c r="FEI77" s="44"/>
      <c r="FEJ77" s="44"/>
      <c r="FEK77" s="44"/>
      <c r="FEL77" s="44"/>
      <c r="FEM77" s="44"/>
      <c r="FEN77" s="44"/>
      <c r="FEO77" s="44"/>
      <c r="FEP77" s="44"/>
      <c r="FEQ77" s="44"/>
      <c r="FER77" s="44"/>
      <c r="FES77" s="44"/>
      <c r="FET77" s="44"/>
      <c r="FEU77" s="44"/>
      <c r="FEV77" s="44"/>
      <c r="FEW77" s="44"/>
      <c r="FEX77" s="44"/>
      <c r="FEY77" s="44"/>
      <c r="FEZ77" s="44"/>
      <c r="FFA77" s="44"/>
      <c r="FFB77" s="44"/>
      <c r="FFC77" s="44"/>
      <c r="FFD77" s="44"/>
      <c r="FFE77" s="44"/>
      <c r="FFF77" s="44"/>
      <c r="FFG77" s="44"/>
      <c r="FFH77" s="44"/>
      <c r="FFI77" s="44"/>
      <c r="FFJ77" s="44"/>
      <c r="FFK77" s="44"/>
      <c r="FFL77" s="44"/>
      <c r="FFM77" s="44"/>
      <c r="FFN77" s="44"/>
      <c r="FFO77" s="44"/>
      <c r="FFP77" s="44"/>
      <c r="FFQ77" s="44"/>
      <c r="FFR77" s="44"/>
      <c r="FFS77" s="44"/>
      <c r="FFT77" s="44"/>
      <c r="FFU77" s="44"/>
      <c r="FFV77" s="44"/>
      <c r="FFW77" s="44"/>
      <c r="FFX77" s="44"/>
      <c r="FFY77" s="44"/>
      <c r="FFZ77" s="44"/>
      <c r="FGA77" s="44"/>
      <c r="FGB77" s="44"/>
      <c r="FGC77" s="44"/>
      <c r="FGD77" s="44"/>
      <c r="FGE77" s="44"/>
      <c r="FGF77" s="44"/>
      <c r="FGG77" s="44"/>
      <c r="FGH77" s="44"/>
      <c r="FGI77" s="44"/>
      <c r="FGJ77" s="44"/>
      <c r="FGK77" s="44"/>
      <c r="FGL77" s="44"/>
      <c r="FGM77" s="44"/>
      <c r="FGN77" s="44"/>
      <c r="FGO77" s="44"/>
      <c r="FGP77" s="44"/>
      <c r="FGQ77" s="44"/>
      <c r="FGR77" s="44"/>
      <c r="FGS77" s="44"/>
      <c r="FGT77" s="44"/>
      <c r="FGU77" s="44"/>
      <c r="FGV77" s="44"/>
      <c r="FGW77" s="44"/>
      <c r="FGX77" s="44"/>
      <c r="FGY77" s="44"/>
      <c r="FGZ77" s="44"/>
      <c r="FHA77" s="44"/>
      <c r="FHB77" s="44"/>
      <c r="FHC77" s="44"/>
      <c r="FHD77" s="44"/>
      <c r="FHE77" s="44"/>
      <c r="FHF77" s="44"/>
      <c r="FHG77" s="44"/>
      <c r="FHH77" s="44"/>
      <c r="FHI77" s="44"/>
      <c r="FHJ77" s="44"/>
      <c r="FHK77" s="44"/>
      <c r="FHL77" s="44"/>
      <c r="FHM77" s="44"/>
      <c r="FHN77" s="44"/>
      <c r="FHO77" s="44"/>
      <c r="FHP77" s="44"/>
      <c r="FHQ77" s="44"/>
      <c r="FHR77" s="44"/>
      <c r="FHS77" s="44"/>
      <c r="FHT77" s="44"/>
      <c r="FHU77" s="44"/>
      <c r="FHV77" s="44"/>
      <c r="FHW77" s="44"/>
      <c r="FHX77" s="44"/>
      <c r="FHY77" s="44"/>
      <c r="FHZ77" s="44"/>
      <c r="FIA77" s="44"/>
      <c r="FIB77" s="44"/>
      <c r="FIC77" s="44"/>
      <c r="FID77" s="44"/>
      <c r="FIE77" s="44"/>
      <c r="FIF77" s="44"/>
      <c r="FIG77" s="44"/>
      <c r="FIH77" s="44"/>
      <c r="FII77" s="44"/>
      <c r="FIJ77" s="44"/>
      <c r="FIK77" s="44"/>
      <c r="FIL77" s="44"/>
      <c r="FIM77" s="44"/>
      <c r="FIN77" s="44"/>
      <c r="FIO77" s="44"/>
      <c r="FIP77" s="44"/>
      <c r="FIQ77" s="44"/>
      <c r="FIR77" s="44"/>
      <c r="FIS77" s="44"/>
      <c r="FIT77" s="44"/>
      <c r="FIU77" s="44"/>
      <c r="FIV77" s="44"/>
      <c r="FIW77" s="44"/>
      <c r="FIX77" s="44"/>
      <c r="FIY77" s="44"/>
      <c r="FIZ77" s="44"/>
      <c r="FJA77" s="44"/>
      <c r="FJB77" s="44"/>
      <c r="FJC77" s="44"/>
      <c r="FJD77" s="44"/>
      <c r="FJE77" s="44"/>
      <c r="FJF77" s="44"/>
      <c r="FJG77" s="44"/>
      <c r="FJH77" s="44"/>
      <c r="FJI77" s="44"/>
      <c r="FJJ77" s="44"/>
      <c r="FJK77" s="44"/>
      <c r="FJL77" s="44"/>
      <c r="FJM77" s="44"/>
      <c r="FJN77" s="44"/>
      <c r="FJO77" s="44"/>
      <c r="FJP77" s="44"/>
      <c r="FJQ77" s="44"/>
      <c r="FJR77" s="44"/>
      <c r="FJS77" s="44"/>
      <c r="FJT77" s="44"/>
      <c r="FJU77" s="44"/>
      <c r="FJV77" s="44"/>
      <c r="FJW77" s="44"/>
      <c r="FJX77" s="44"/>
      <c r="FJY77" s="44"/>
      <c r="FJZ77" s="44"/>
      <c r="FKA77" s="44"/>
      <c r="FKB77" s="44"/>
      <c r="FKC77" s="44"/>
      <c r="FKD77" s="44"/>
      <c r="FKE77" s="44"/>
      <c r="FKF77" s="44"/>
      <c r="FKG77" s="44"/>
      <c r="FKH77" s="44"/>
      <c r="FKI77" s="44"/>
      <c r="FKJ77" s="44"/>
      <c r="FKK77" s="44"/>
      <c r="FKL77" s="44"/>
      <c r="FKM77" s="44"/>
      <c r="FKN77" s="44"/>
      <c r="FKO77" s="44"/>
      <c r="FKP77" s="44"/>
      <c r="FKQ77" s="44"/>
      <c r="FKR77" s="44"/>
      <c r="FKS77" s="44"/>
      <c r="FKT77" s="44"/>
      <c r="FKU77" s="44"/>
      <c r="FKV77" s="44"/>
      <c r="FKW77" s="44"/>
      <c r="FKX77" s="44"/>
      <c r="FKY77" s="44"/>
      <c r="FKZ77" s="44"/>
      <c r="FLA77" s="44"/>
      <c r="FLB77" s="44"/>
      <c r="FLC77" s="44"/>
      <c r="FLD77" s="44"/>
      <c r="FLE77" s="44"/>
      <c r="FLF77" s="44"/>
      <c r="FLG77" s="44"/>
      <c r="FLH77" s="44"/>
      <c r="FLI77" s="44"/>
      <c r="FLJ77" s="44"/>
      <c r="FLK77" s="44"/>
      <c r="FLL77" s="44"/>
      <c r="FLM77" s="44"/>
      <c r="FLN77" s="44"/>
      <c r="FLO77" s="44"/>
      <c r="FLP77" s="44"/>
      <c r="FLQ77" s="44"/>
      <c r="FLR77" s="44"/>
      <c r="FLS77" s="44"/>
      <c r="FLT77" s="44"/>
      <c r="FLU77" s="44"/>
      <c r="FLV77" s="44"/>
      <c r="FLW77" s="44"/>
      <c r="FLX77" s="44"/>
      <c r="FLY77" s="44"/>
      <c r="FLZ77" s="44"/>
      <c r="FMA77" s="44"/>
      <c r="FMB77" s="44"/>
      <c r="FMC77" s="44"/>
      <c r="FMD77" s="44"/>
      <c r="FME77" s="44"/>
      <c r="FMF77" s="44"/>
      <c r="FMG77" s="44"/>
      <c r="FMH77" s="44"/>
      <c r="FMI77" s="44"/>
      <c r="FMJ77" s="44"/>
      <c r="FMK77" s="44"/>
      <c r="FML77" s="44"/>
      <c r="FMM77" s="44"/>
      <c r="FMN77" s="44"/>
      <c r="FMO77" s="44"/>
      <c r="FMP77" s="44"/>
      <c r="FMQ77" s="44"/>
      <c r="FMR77" s="44"/>
      <c r="FMS77" s="44"/>
      <c r="FMT77" s="44"/>
      <c r="FMU77" s="44"/>
      <c r="FMV77" s="44"/>
      <c r="FMW77" s="44"/>
      <c r="FMX77" s="44"/>
      <c r="FMY77" s="44"/>
      <c r="FMZ77" s="44"/>
      <c r="FNA77" s="44"/>
      <c r="FNB77" s="44"/>
      <c r="FNC77" s="44"/>
      <c r="FND77" s="44"/>
      <c r="FNE77" s="44"/>
      <c r="FNF77" s="44"/>
      <c r="FNG77" s="44"/>
      <c r="FNH77" s="44"/>
      <c r="FNI77" s="44"/>
      <c r="FNJ77" s="44"/>
      <c r="FNK77" s="44"/>
      <c r="FNL77" s="44"/>
      <c r="FNM77" s="44"/>
      <c r="FNN77" s="44"/>
      <c r="FNO77" s="44"/>
      <c r="FNP77" s="44"/>
      <c r="FNQ77" s="44"/>
      <c r="FNR77" s="44"/>
      <c r="FNS77" s="44"/>
      <c r="FNT77" s="44"/>
      <c r="FNU77" s="44"/>
      <c r="FNV77" s="44"/>
      <c r="FNW77" s="44"/>
      <c r="FNX77" s="44"/>
      <c r="FNY77" s="44"/>
      <c r="FNZ77" s="44"/>
      <c r="FOA77" s="44"/>
      <c r="FOB77" s="44"/>
      <c r="FOC77" s="44"/>
      <c r="FOD77" s="44"/>
      <c r="FOE77" s="44"/>
      <c r="FOF77" s="44"/>
      <c r="FOG77" s="44"/>
      <c r="FOH77" s="44"/>
      <c r="FOI77" s="44"/>
      <c r="FOJ77" s="44"/>
      <c r="FOK77" s="44"/>
      <c r="FOL77" s="44"/>
      <c r="FOM77" s="44"/>
      <c r="FON77" s="44"/>
      <c r="FOO77" s="44"/>
      <c r="FOP77" s="44"/>
      <c r="FOQ77" s="44"/>
      <c r="FOR77" s="44"/>
      <c r="FOS77" s="44"/>
      <c r="FOT77" s="44"/>
      <c r="FOU77" s="44"/>
      <c r="FOV77" s="44"/>
      <c r="FOW77" s="44"/>
      <c r="FOX77" s="44"/>
      <c r="FOY77" s="44"/>
      <c r="FOZ77" s="44"/>
      <c r="FPA77" s="44"/>
      <c r="FPB77" s="44"/>
      <c r="FPC77" s="44"/>
      <c r="FPD77" s="44"/>
      <c r="FPE77" s="44"/>
      <c r="FPF77" s="44"/>
      <c r="FPG77" s="44"/>
      <c r="FPH77" s="44"/>
      <c r="FPI77" s="44"/>
      <c r="FPJ77" s="44"/>
      <c r="FPK77" s="44"/>
      <c r="FPL77" s="44"/>
      <c r="FPM77" s="44"/>
      <c r="FPN77" s="44"/>
      <c r="FPO77" s="44"/>
      <c r="FPP77" s="44"/>
      <c r="FPQ77" s="44"/>
      <c r="FPR77" s="44"/>
      <c r="FPS77" s="44"/>
      <c r="FPT77" s="44"/>
      <c r="FPU77" s="44"/>
      <c r="FPV77" s="44"/>
      <c r="FPW77" s="44"/>
      <c r="FPX77" s="44"/>
      <c r="FPY77" s="44"/>
      <c r="FPZ77" s="44"/>
      <c r="FQA77" s="44"/>
      <c r="FQB77" s="44"/>
      <c r="FQC77" s="44"/>
      <c r="FQD77" s="44"/>
      <c r="FQE77" s="44"/>
      <c r="FQF77" s="44"/>
      <c r="FQG77" s="44"/>
      <c r="FQH77" s="44"/>
      <c r="FQI77" s="44"/>
      <c r="FQJ77" s="44"/>
      <c r="FQK77" s="44"/>
      <c r="FQL77" s="44"/>
      <c r="FQM77" s="44"/>
      <c r="FQN77" s="44"/>
      <c r="FQO77" s="44"/>
      <c r="FQP77" s="44"/>
      <c r="FQQ77" s="44"/>
      <c r="FQR77" s="44"/>
      <c r="FQS77" s="44"/>
      <c r="FQT77" s="44"/>
      <c r="FQU77" s="44"/>
      <c r="FQV77" s="44"/>
      <c r="FQW77" s="44"/>
      <c r="FQX77" s="44"/>
      <c r="FQY77" s="44"/>
      <c r="FQZ77" s="44"/>
      <c r="FRA77" s="44"/>
      <c r="FRB77" s="44"/>
      <c r="FRC77" s="44"/>
      <c r="FRD77" s="44"/>
      <c r="FRE77" s="44"/>
      <c r="FRF77" s="44"/>
      <c r="FRG77" s="44"/>
      <c r="FRH77" s="44"/>
      <c r="FRI77" s="44"/>
      <c r="FRJ77" s="44"/>
      <c r="FRK77" s="44"/>
      <c r="FRL77" s="44"/>
      <c r="FRM77" s="44"/>
      <c r="FRN77" s="44"/>
      <c r="FRO77" s="44"/>
      <c r="FRP77" s="44"/>
      <c r="FRQ77" s="44"/>
      <c r="FRR77" s="44"/>
      <c r="FRS77" s="44"/>
      <c r="FRT77" s="44"/>
      <c r="FRU77" s="44"/>
      <c r="FRV77" s="44"/>
      <c r="FRW77" s="44"/>
      <c r="FRX77" s="44"/>
      <c r="FRY77" s="44"/>
      <c r="FRZ77" s="44"/>
      <c r="FSA77" s="44"/>
      <c r="FSB77" s="44"/>
      <c r="FSC77" s="44"/>
      <c r="FSD77" s="44"/>
      <c r="FSE77" s="44"/>
      <c r="FSF77" s="44"/>
      <c r="FSG77" s="44"/>
      <c r="FSH77" s="44"/>
      <c r="FSI77" s="44"/>
      <c r="FSJ77" s="44"/>
      <c r="FSK77" s="44"/>
      <c r="FSL77" s="44"/>
      <c r="FSM77" s="44"/>
      <c r="FSN77" s="44"/>
      <c r="FSO77" s="44"/>
      <c r="FSP77" s="44"/>
      <c r="FSQ77" s="44"/>
      <c r="FSR77" s="44"/>
      <c r="FSS77" s="44"/>
      <c r="FST77" s="44"/>
      <c r="FSU77" s="44"/>
      <c r="FSV77" s="44"/>
      <c r="FSW77" s="44"/>
      <c r="FSX77" s="44"/>
      <c r="FSY77" s="44"/>
      <c r="FSZ77" s="44"/>
      <c r="FTA77" s="44"/>
      <c r="FTB77" s="44"/>
      <c r="FTC77" s="44"/>
      <c r="FTD77" s="44"/>
      <c r="FTE77" s="44"/>
      <c r="FTF77" s="44"/>
      <c r="FTG77" s="44"/>
      <c r="FTH77" s="44"/>
      <c r="FTI77" s="44"/>
      <c r="FTJ77" s="44"/>
      <c r="FTK77" s="44"/>
      <c r="FTL77" s="44"/>
      <c r="FTM77" s="44"/>
      <c r="FTN77" s="44"/>
      <c r="FTO77" s="44"/>
      <c r="FTP77" s="44"/>
      <c r="FTQ77" s="44"/>
      <c r="FTR77" s="44"/>
      <c r="FTS77" s="44"/>
      <c r="FTT77" s="44"/>
      <c r="FTU77" s="44"/>
      <c r="FTV77" s="44"/>
      <c r="FTW77" s="44"/>
      <c r="FTX77" s="44"/>
      <c r="FTY77" s="44"/>
      <c r="FTZ77" s="44"/>
      <c r="FUA77" s="44"/>
      <c r="FUB77" s="44"/>
      <c r="FUC77" s="44"/>
      <c r="FUD77" s="44"/>
      <c r="FUE77" s="44"/>
      <c r="FUF77" s="44"/>
      <c r="FUG77" s="44"/>
      <c r="FUH77" s="44"/>
      <c r="FUI77" s="44"/>
      <c r="FUJ77" s="44"/>
      <c r="FUK77" s="44"/>
      <c r="FUL77" s="44"/>
      <c r="FUM77" s="44"/>
      <c r="FUN77" s="44"/>
      <c r="FUO77" s="44"/>
      <c r="FUP77" s="44"/>
      <c r="FUQ77" s="44"/>
      <c r="FUR77" s="44"/>
      <c r="FUS77" s="44"/>
      <c r="FUT77" s="44"/>
      <c r="FUU77" s="44"/>
      <c r="FUV77" s="44"/>
      <c r="FUW77" s="44"/>
      <c r="FUX77" s="44"/>
      <c r="FUY77" s="44"/>
      <c r="FUZ77" s="44"/>
      <c r="FVA77" s="44"/>
      <c r="FVB77" s="44"/>
      <c r="FVC77" s="44"/>
      <c r="FVD77" s="44"/>
      <c r="FVE77" s="44"/>
      <c r="FVF77" s="44"/>
      <c r="FVG77" s="44"/>
      <c r="FVH77" s="44"/>
      <c r="FVI77" s="44"/>
      <c r="FVJ77" s="44"/>
      <c r="FVK77" s="44"/>
      <c r="FVL77" s="44"/>
      <c r="FVM77" s="44"/>
      <c r="FVN77" s="44"/>
      <c r="FVO77" s="44"/>
      <c r="FVP77" s="44"/>
      <c r="FVQ77" s="44"/>
      <c r="FVR77" s="44"/>
      <c r="FVS77" s="44"/>
      <c r="FVT77" s="44"/>
      <c r="FVU77" s="44"/>
      <c r="FVV77" s="44"/>
      <c r="FVW77" s="44"/>
      <c r="FVX77" s="44"/>
      <c r="FVY77" s="44"/>
      <c r="FVZ77" s="44"/>
      <c r="FWA77" s="44"/>
      <c r="FWB77" s="44"/>
      <c r="FWC77" s="44"/>
      <c r="FWD77" s="44"/>
      <c r="FWE77" s="44"/>
      <c r="FWF77" s="44"/>
      <c r="FWG77" s="44"/>
      <c r="FWH77" s="44"/>
      <c r="FWI77" s="44"/>
      <c r="FWJ77" s="44"/>
      <c r="FWK77" s="44"/>
      <c r="FWL77" s="44"/>
      <c r="FWM77" s="44"/>
      <c r="FWN77" s="44"/>
      <c r="FWO77" s="44"/>
      <c r="FWP77" s="44"/>
      <c r="FWQ77" s="44"/>
      <c r="FWR77" s="44"/>
      <c r="FWS77" s="44"/>
      <c r="FWT77" s="44"/>
      <c r="FWU77" s="44"/>
      <c r="FWV77" s="44"/>
      <c r="FWW77" s="44"/>
      <c r="FWX77" s="44"/>
      <c r="FWY77" s="44"/>
      <c r="FWZ77" s="44"/>
      <c r="FXA77" s="44"/>
      <c r="FXB77" s="44"/>
      <c r="FXC77" s="44"/>
      <c r="FXD77" s="44"/>
      <c r="FXE77" s="44"/>
      <c r="FXF77" s="44"/>
      <c r="FXG77" s="44"/>
      <c r="FXH77" s="44"/>
      <c r="FXI77" s="44"/>
      <c r="FXJ77" s="44"/>
      <c r="FXK77" s="44"/>
      <c r="FXL77" s="44"/>
      <c r="FXM77" s="44"/>
      <c r="FXN77" s="44"/>
      <c r="FXO77" s="44"/>
      <c r="FXP77" s="44"/>
      <c r="FXQ77" s="44"/>
      <c r="FXR77" s="44"/>
      <c r="FXS77" s="44"/>
      <c r="FXT77" s="44"/>
      <c r="FXU77" s="44"/>
      <c r="FXV77" s="44"/>
      <c r="FXW77" s="44"/>
      <c r="FXX77" s="44"/>
      <c r="FXY77" s="44"/>
      <c r="FXZ77" s="44"/>
      <c r="FYA77" s="44"/>
      <c r="FYB77" s="44"/>
      <c r="FYC77" s="44"/>
      <c r="FYD77" s="44"/>
      <c r="FYE77" s="44"/>
      <c r="FYF77" s="44"/>
      <c r="FYG77" s="44"/>
      <c r="FYH77" s="44"/>
      <c r="FYI77" s="44"/>
      <c r="FYJ77" s="44"/>
      <c r="FYK77" s="44"/>
      <c r="FYL77" s="44"/>
      <c r="FYM77" s="44"/>
      <c r="FYN77" s="44"/>
      <c r="FYO77" s="44"/>
      <c r="FYP77" s="44"/>
      <c r="FYQ77" s="44"/>
      <c r="FYR77" s="44"/>
      <c r="FYS77" s="44"/>
      <c r="FYT77" s="44"/>
      <c r="FYU77" s="44"/>
      <c r="FYV77" s="44"/>
      <c r="FYW77" s="44"/>
      <c r="FYX77" s="44"/>
      <c r="FYY77" s="44"/>
      <c r="FYZ77" s="44"/>
      <c r="FZA77" s="44"/>
      <c r="FZB77" s="44"/>
      <c r="FZC77" s="44"/>
      <c r="FZD77" s="44"/>
      <c r="FZE77" s="44"/>
      <c r="FZF77" s="44"/>
      <c r="FZG77" s="44"/>
      <c r="FZH77" s="44"/>
      <c r="FZI77" s="44"/>
      <c r="FZJ77" s="44"/>
      <c r="FZK77" s="44"/>
      <c r="FZL77" s="44"/>
      <c r="FZM77" s="44"/>
      <c r="FZN77" s="44"/>
      <c r="FZO77" s="44"/>
      <c r="FZP77" s="44"/>
      <c r="FZQ77" s="44"/>
      <c r="FZR77" s="44"/>
      <c r="FZS77" s="44"/>
      <c r="FZT77" s="44"/>
      <c r="FZU77" s="44"/>
      <c r="FZV77" s="44"/>
      <c r="FZW77" s="44"/>
      <c r="FZX77" s="44"/>
      <c r="FZY77" s="44"/>
      <c r="FZZ77" s="44"/>
      <c r="GAA77" s="44"/>
      <c r="GAB77" s="44"/>
      <c r="GAC77" s="44"/>
      <c r="GAD77" s="44"/>
      <c r="GAE77" s="44"/>
      <c r="GAF77" s="44"/>
      <c r="GAG77" s="44"/>
      <c r="GAH77" s="44"/>
      <c r="GAI77" s="44"/>
      <c r="GAJ77" s="44"/>
      <c r="GAK77" s="44"/>
      <c r="GAL77" s="44"/>
      <c r="GAM77" s="44"/>
      <c r="GAN77" s="44"/>
      <c r="GAO77" s="44"/>
      <c r="GAP77" s="44"/>
      <c r="GAQ77" s="44"/>
      <c r="GAR77" s="44"/>
      <c r="GAS77" s="44"/>
      <c r="GAT77" s="44"/>
      <c r="GAU77" s="44"/>
      <c r="GAV77" s="44"/>
      <c r="GAW77" s="44"/>
      <c r="GAX77" s="44"/>
      <c r="GAY77" s="44"/>
      <c r="GAZ77" s="44"/>
      <c r="GBA77" s="44"/>
      <c r="GBB77" s="44"/>
      <c r="GBC77" s="44"/>
      <c r="GBD77" s="44"/>
      <c r="GBE77" s="44"/>
      <c r="GBF77" s="44"/>
      <c r="GBG77" s="44"/>
      <c r="GBH77" s="44"/>
      <c r="GBI77" s="44"/>
      <c r="GBJ77" s="44"/>
      <c r="GBK77" s="44"/>
      <c r="GBL77" s="44"/>
      <c r="GBM77" s="44"/>
      <c r="GBN77" s="44"/>
      <c r="GBO77" s="44"/>
      <c r="GBP77" s="44"/>
      <c r="GBQ77" s="44"/>
      <c r="GBR77" s="44"/>
      <c r="GBS77" s="44"/>
      <c r="GBT77" s="44"/>
      <c r="GBU77" s="44"/>
      <c r="GBV77" s="44"/>
      <c r="GBW77" s="44"/>
      <c r="GBX77" s="44"/>
      <c r="GBY77" s="44"/>
      <c r="GBZ77" s="44"/>
      <c r="GCA77" s="44"/>
      <c r="GCB77" s="44"/>
      <c r="GCC77" s="44"/>
      <c r="GCD77" s="44"/>
      <c r="GCE77" s="44"/>
      <c r="GCF77" s="44"/>
      <c r="GCG77" s="44"/>
      <c r="GCH77" s="44"/>
      <c r="GCI77" s="44"/>
      <c r="GCJ77" s="44"/>
      <c r="GCK77" s="44"/>
      <c r="GCL77" s="44"/>
      <c r="GCM77" s="44"/>
      <c r="GCN77" s="44"/>
      <c r="GCO77" s="44"/>
      <c r="GCP77" s="44"/>
      <c r="GCQ77" s="44"/>
      <c r="GCR77" s="44"/>
      <c r="GCS77" s="44"/>
      <c r="GCT77" s="44"/>
      <c r="GCU77" s="44"/>
      <c r="GCV77" s="44"/>
      <c r="GCW77" s="44"/>
      <c r="GCX77" s="44"/>
      <c r="GCY77" s="44"/>
      <c r="GCZ77" s="44"/>
      <c r="GDA77" s="44"/>
      <c r="GDB77" s="44"/>
      <c r="GDC77" s="44"/>
      <c r="GDD77" s="44"/>
      <c r="GDE77" s="44"/>
      <c r="GDF77" s="44"/>
      <c r="GDG77" s="44"/>
      <c r="GDH77" s="44"/>
      <c r="GDI77" s="44"/>
      <c r="GDJ77" s="44"/>
      <c r="GDK77" s="44"/>
      <c r="GDL77" s="44"/>
      <c r="GDM77" s="44"/>
      <c r="GDN77" s="44"/>
      <c r="GDO77" s="44"/>
      <c r="GDP77" s="44"/>
      <c r="GDQ77" s="44"/>
      <c r="GDR77" s="44"/>
      <c r="GDS77" s="44"/>
      <c r="GDT77" s="44"/>
      <c r="GDU77" s="44"/>
      <c r="GDV77" s="44"/>
      <c r="GDW77" s="44"/>
      <c r="GDX77" s="44"/>
      <c r="GDY77" s="44"/>
      <c r="GDZ77" s="44"/>
      <c r="GEA77" s="44"/>
      <c r="GEB77" s="44"/>
      <c r="GEC77" s="44"/>
      <c r="GED77" s="44"/>
      <c r="GEE77" s="44"/>
      <c r="GEF77" s="44"/>
      <c r="GEG77" s="44"/>
      <c r="GEH77" s="44"/>
      <c r="GEI77" s="44"/>
      <c r="GEJ77" s="44"/>
      <c r="GEK77" s="44"/>
      <c r="GEL77" s="44"/>
      <c r="GEM77" s="44"/>
      <c r="GEN77" s="44"/>
      <c r="GEO77" s="44"/>
      <c r="GEP77" s="44"/>
      <c r="GEQ77" s="44"/>
      <c r="GER77" s="44"/>
      <c r="GES77" s="44"/>
      <c r="GET77" s="44"/>
      <c r="GEU77" s="44"/>
      <c r="GEV77" s="44"/>
      <c r="GEW77" s="44"/>
      <c r="GEX77" s="44"/>
      <c r="GEY77" s="44"/>
      <c r="GEZ77" s="44"/>
      <c r="GFA77" s="44"/>
      <c r="GFB77" s="44"/>
      <c r="GFC77" s="44"/>
      <c r="GFD77" s="44"/>
      <c r="GFE77" s="44"/>
      <c r="GFF77" s="44"/>
      <c r="GFG77" s="44"/>
      <c r="GFH77" s="44"/>
      <c r="GFI77" s="44"/>
      <c r="GFJ77" s="44"/>
      <c r="GFK77" s="44"/>
      <c r="GFL77" s="44"/>
      <c r="GFM77" s="44"/>
      <c r="GFN77" s="44"/>
      <c r="GFO77" s="44"/>
      <c r="GFP77" s="44"/>
      <c r="GFQ77" s="44"/>
      <c r="GFR77" s="44"/>
      <c r="GFS77" s="44"/>
      <c r="GFT77" s="44"/>
      <c r="GFU77" s="44"/>
      <c r="GFV77" s="44"/>
      <c r="GFW77" s="44"/>
      <c r="GFX77" s="44"/>
      <c r="GFY77" s="44"/>
      <c r="GFZ77" s="44"/>
      <c r="GGA77" s="44"/>
      <c r="GGB77" s="44"/>
      <c r="GGC77" s="44"/>
      <c r="GGD77" s="44"/>
      <c r="GGE77" s="44"/>
      <c r="GGF77" s="44"/>
      <c r="GGG77" s="44"/>
      <c r="GGH77" s="44"/>
      <c r="GGI77" s="44"/>
      <c r="GGJ77" s="44"/>
      <c r="GGK77" s="44"/>
      <c r="GGL77" s="44"/>
      <c r="GGM77" s="44"/>
      <c r="GGN77" s="44"/>
      <c r="GGO77" s="44"/>
      <c r="GGP77" s="44"/>
      <c r="GGQ77" s="44"/>
      <c r="GGR77" s="44"/>
      <c r="GGS77" s="44"/>
      <c r="GGT77" s="44"/>
      <c r="GGU77" s="44"/>
      <c r="GGV77" s="44"/>
      <c r="GGW77" s="44"/>
      <c r="GGX77" s="44"/>
      <c r="GGY77" s="44"/>
      <c r="GGZ77" s="44"/>
      <c r="GHA77" s="44"/>
      <c r="GHB77" s="44"/>
      <c r="GHC77" s="44"/>
      <c r="GHD77" s="44"/>
      <c r="GHE77" s="44"/>
      <c r="GHF77" s="44"/>
      <c r="GHG77" s="44"/>
      <c r="GHH77" s="44"/>
      <c r="GHI77" s="44"/>
      <c r="GHJ77" s="44"/>
      <c r="GHK77" s="44"/>
      <c r="GHL77" s="44"/>
      <c r="GHM77" s="44"/>
      <c r="GHN77" s="44"/>
      <c r="GHO77" s="44"/>
      <c r="GHP77" s="44"/>
      <c r="GHQ77" s="44"/>
      <c r="GHR77" s="44"/>
      <c r="GHS77" s="44"/>
      <c r="GHT77" s="44"/>
      <c r="GHU77" s="44"/>
      <c r="GHV77" s="44"/>
      <c r="GHW77" s="44"/>
      <c r="GHX77" s="44"/>
      <c r="GHY77" s="44"/>
      <c r="GHZ77" s="44"/>
      <c r="GIA77" s="44"/>
      <c r="GIB77" s="44"/>
      <c r="GIC77" s="44"/>
      <c r="GID77" s="44"/>
      <c r="GIE77" s="44"/>
      <c r="GIF77" s="44"/>
      <c r="GIG77" s="44"/>
      <c r="GIH77" s="44"/>
      <c r="GII77" s="44"/>
      <c r="GIJ77" s="44"/>
      <c r="GIK77" s="44"/>
      <c r="GIL77" s="44"/>
      <c r="GIM77" s="44"/>
      <c r="GIN77" s="44"/>
      <c r="GIO77" s="44"/>
      <c r="GIP77" s="44"/>
      <c r="GIQ77" s="44"/>
      <c r="GIR77" s="44"/>
      <c r="GIS77" s="44"/>
      <c r="GIT77" s="44"/>
      <c r="GIU77" s="44"/>
      <c r="GIV77" s="44"/>
      <c r="GIW77" s="44"/>
      <c r="GIX77" s="44"/>
      <c r="GIY77" s="44"/>
      <c r="GIZ77" s="44"/>
      <c r="GJA77" s="44"/>
      <c r="GJB77" s="44"/>
      <c r="GJC77" s="44"/>
      <c r="GJD77" s="44"/>
      <c r="GJE77" s="44"/>
      <c r="GJF77" s="44"/>
      <c r="GJG77" s="44"/>
      <c r="GJH77" s="44"/>
      <c r="GJI77" s="44"/>
      <c r="GJJ77" s="44"/>
      <c r="GJK77" s="44"/>
      <c r="GJL77" s="44"/>
      <c r="GJM77" s="44"/>
      <c r="GJN77" s="44"/>
      <c r="GJO77" s="44"/>
      <c r="GJP77" s="44"/>
      <c r="GJQ77" s="44"/>
      <c r="GJR77" s="44"/>
      <c r="GJS77" s="44"/>
      <c r="GJT77" s="44"/>
      <c r="GJU77" s="44"/>
      <c r="GJV77" s="44"/>
      <c r="GJW77" s="44"/>
      <c r="GJX77" s="44"/>
      <c r="GJY77" s="44"/>
      <c r="GJZ77" s="44"/>
      <c r="GKA77" s="44"/>
      <c r="GKB77" s="44"/>
      <c r="GKC77" s="44"/>
      <c r="GKD77" s="44"/>
      <c r="GKE77" s="44"/>
      <c r="GKF77" s="44"/>
      <c r="GKG77" s="44"/>
      <c r="GKH77" s="44"/>
      <c r="GKI77" s="44"/>
      <c r="GKJ77" s="44"/>
      <c r="GKK77" s="44"/>
      <c r="GKL77" s="44"/>
      <c r="GKM77" s="44"/>
      <c r="GKN77" s="44"/>
      <c r="GKO77" s="44"/>
      <c r="GKP77" s="44"/>
      <c r="GKQ77" s="44"/>
      <c r="GKR77" s="44"/>
      <c r="GKS77" s="44"/>
      <c r="GKT77" s="44"/>
      <c r="GKU77" s="44"/>
      <c r="GKV77" s="44"/>
      <c r="GKW77" s="44"/>
      <c r="GKX77" s="44"/>
      <c r="GKY77" s="44"/>
      <c r="GKZ77" s="44"/>
      <c r="GLA77" s="44"/>
      <c r="GLB77" s="44"/>
      <c r="GLC77" s="44"/>
      <c r="GLD77" s="44"/>
      <c r="GLE77" s="44"/>
      <c r="GLF77" s="44"/>
      <c r="GLG77" s="44"/>
      <c r="GLH77" s="44"/>
      <c r="GLI77" s="44"/>
      <c r="GLJ77" s="44"/>
      <c r="GLK77" s="44"/>
      <c r="GLL77" s="44"/>
      <c r="GLM77" s="44"/>
      <c r="GLN77" s="44"/>
      <c r="GLO77" s="44"/>
      <c r="GLP77" s="44"/>
      <c r="GLQ77" s="44"/>
      <c r="GLR77" s="44"/>
      <c r="GLS77" s="44"/>
      <c r="GLT77" s="44"/>
      <c r="GLU77" s="44"/>
      <c r="GLV77" s="44"/>
      <c r="GLW77" s="44"/>
      <c r="GLX77" s="44"/>
      <c r="GLY77" s="44"/>
      <c r="GLZ77" s="44"/>
      <c r="GMA77" s="44"/>
      <c r="GMB77" s="44"/>
      <c r="GMC77" s="44"/>
      <c r="GMD77" s="44"/>
      <c r="GME77" s="44"/>
      <c r="GMF77" s="44"/>
      <c r="GMG77" s="44"/>
      <c r="GMH77" s="44"/>
      <c r="GMI77" s="44"/>
      <c r="GMJ77" s="44"/>
      <c r="GMK77" s="44"/>
      <c r="GML77" s="44"/>
      <c r="GMM77" s="44"/>
      <c r="GMN77" s="44"/>
      <c r="GMO77" s="44"/>
      <c r="GMP77" s="44"/>
      <c r="GMQ77" s="44"/>
      <c r="GMR77" s="44"/>
      <c r="GMS77" s="44"/>
      <c r="GMT77" s="44"/>
      <c r="GMU77" s="44"/>
      <c r="GMV77" s="44"/>
      <c r="GMW77" s="44"/>
      <c r="GMX77" s="44"/>
      <c r="GMY77" s="44"/>
      <c r="GMZ77" s="44"/>
      <c r="GNA77" s="44"/>
      <c r="GNB77" s="44"/>
      <c r="GNC77" s="44"/>
      <c r="GND77" s="44"/>
      <c r="GNE77" s="44"/>
      <c r="GNF77" s="44"/>
      <c r="GNG77" s="44"/>
      <c r="GNH77" s="44"/>
      <c r="GNI77" s="44"/>
      <c r="GNJ77" s="44"/>
      <c r="GNK77" s="44"/>
      <c r="GNL77" s="44"/>
      <c r="GNM77" s="44"/>
      <c r="GNN77" s="44"/>
      <c r="GNO77" s="44"/>
      <c r="GNP77" s="44"/>
      <c r="GNQ77" s="44"/>
      <c r="GNR77" s="44"/>
      <c r="GNS77" s="44"/>
      <c r="GNT77" s="44"/>
      <c r="GNU77" s="44"/>
      <c r="GNV77" s="44"/>
      <c r="GNW77" s="44"/>
      <c r="GNX77" s="44"/>
      <c r="GNY77" s="44"/>
      <c r="GNZ77" s="44"/>
      <c r="GOA77" s="44"/>
      <c r="GOB77" s="44"/>
      <c r="GOC77" s="44"/>
      <c r="GOD77" s="44"/>
      <c r="GOE77" s="44"/>
      <c r="GOF77" s="44"/>
      <c r="GOG77" s="44"/>
      <c r="GOH77" s="44"/>
      <c r="GOI77" s="44"/>
      <c r="GOJ77" s="44"/>
      <c r="GOK77" s="44"/>
      <c r="GOL77" s="44"/>
      <c r="GOM77" s="44"/>
      <c r="GON77" s="44"/>
      <c r="GOO77" s="44"/>
      <c r="GOP77" s="44"/>
      <c r="GOQ77" s="44"/>
      <c r="GOR77" s="44"/>
      <c r="GOS77" s="44"/>
      <c r="GOT77" s="44"/>
      <c r="GOU77" s="44"/>
      <c r="GOV77" s="44"/>
      <c r="GOW77" s="44"/>
      <c r="GOX77" s="44"/>
      <c r="GOY77" s="44"/>
      <c r="GOZ77" s="44"/>
      <c r="GPA77" s="44"/>
      <c r="GPB77" s="44"/>
      <c r="GPC77" s="44"/>
      <c r="GPD77" s="44"/>
      <c r="GPE77" s="44"/>
      <c r="GPF77" s="44"/>
      <c r="GPG77" s="44"/>
      <c r="GPH77" s="44"/>
      <c r="GPI77" s="44"/>
      <c r="GPJ77" s="44"/>
      <c r="GPK77" s="44"/>
      <c r="GPL77" s="44"/>
      <c r="GPM77" s="44"/>
      <c r="GPN77" s="44"/>
      <c r="GPO77" s="44"/>
      <c r="GPP77" s="44"/>
      <c r="GPQ77" s="44"/>
      <c r="GPR77" s="44"/>
      <c r="GPS77" s="44"/>
      <c r="GPT77" s="44"/>
      <c r="GPU77" s="44"/>
      <c r="GPV77" s="44"/>
      <c r="GPW77" s="44"/>
      <c r="GPX77" s="44"/>
      <c r="GPY77" s="44"/>
      <c r="GPZ77" s="44"/>
      <c r="GQA77" s="44"/>
      <c r="GQB77" s="44"/>
      <c r="GQC77" s="44"/>
      <c r="GQD77" s="44"/>
      <c r="GQE77" s="44"/>
      <c r="GQF77" s="44"/>
      <c r="GQG77" s="44"/>
      <c r="GQH77" s="44"/>
      <c r="GQI77" s="44"/>
      <c r="GQJ77" s="44"/>
      <c r="GQK77" s="44"/>
      <c r="GQL77" s="44"/>
      <c r="GQM77" s="44"/>
      <c r="GQN77" s="44"/>
      <c r="GQO77" s="44"/>
      <c r="GQP77" s="44"/>
      <c r="GQQ77" s="44"/>
      <c r="GQR77" s="44"/>
      <c r="GQS77" s="44"/>
      <c r="GQT77" s="44"/>
      <c r="GQU77" s="44"/>
      <c r="GQV77" s="44"/>
      <c r="GQW77" s="44"/>
      <c r="GQX77" s="44"/>
      <c r="GQY77" s="44"/>
      <c r="GQZ77" s="44"/>
      <c r="GRA77" s="44"/>
      <c r="GRB77" s="44"/>
      <c r="GRC77" s="44"/>
      <c r="GRD77" s="44"/>
      <c r="GRE77" s="44"/>
      <c r="GRF77" s="44"/>
      <c r="GRG77" s="44"/>
      <c r="GRH77" s="44"/>
      <c r="GRI77" s="44"/>
      <c r="GRJ77" s="44"/>
      <c r="GRK77" s="44"/>
      <c r="GRL77" s="44"/>
      <c r="GRM77" s="44"/>
      <c r="GRN77" s="44"/>
      <c r="GRO77" s="44"/>
      <c r="GRP77" s="44"/>
      <c r="GRQ77" s="44"/>
      <c r="GRR77" s="44"/>
      <c r="GRS77" s="44"/>
      <c r="GRT77" s="44"/>
      <c r="GRU77" s="44"/>
      <c r="GRV77" s="44"/>
      <c r="GRW77" s="44"/>
      <c r="GRX77" s="44"/>
      <c r="GRY77" s="44"/>
      <c r="GRZ77" s="44"/>
      <c r="GSA77" s="44"/>
      <c r="GSB77" s="44"/>
      <c r="GSC77" s="44"/>
      <c r="GSD77" s="44"/>
      <c r="GSE77" s="44"/>
      <c r="GSF77" s="44"/>
      <c r="GSG77" s="44"/>
      <c r="GSH77" s="44"/>
      <c r="GSI77" s="44"/>
      <c r="GSJ77" s="44"/>
      <c r="GSK77" s="44"/>
      <c r="GSL77" s="44"/>
      <c r="GSM77" s="44"/>
      <c r="GSN77" s="44"/>
      <c r="GSO77" s="44"/>
      <c r="GSP77" s="44"/>
      <c r="GSQ77" s="44"/>
      <c r="GSR77" s="44"/>
      <c r="GSS77" s="44"/>
      <c r="GST77" s="44"/>
      <c r="GSU77" s="44"/>
      <c r="GSV77" s="44"/>
      <c r="GSW77" s="44"/>
      <c r="GSX77" s="44"/>
      <c r="GSY77" s="44"/>
      <c r="GSZ77" s="44"/>
      <c r="GTA77" s="44"/>
      <c r="GTB77" s="44"/>
      <c r="GTC77" s="44"/>
      <c r="GTD77" s="44"/>
      <c r="GTE77" s="44"/>
      <c r="GTF77" s="44"/>
      <c r="GTG77" s="44"/>
      <c r="GTH77" s="44"/>
      <c r="GTI77" s="44"/>
      <c r="GTJ77" s="44"/>
      <c r="GTK77" s="44"/>
      <c r="GTL77" s="44"/>
      <c r="GTM77" s="44"/>
      <c r="GTN77" s="44"/>
      <c r="GTO77" s="44"/>
      <c r="GTP77" s="44"/>
      <c r="GTQ77" s="44"/>
      <c r="GTR77" s="44"/>
      <c r="GTS77" s="44"/>
      <c r="GTT77" s="44"/>
      <c r="GTU77" s="44"/>
      <c r="GTV77" s="44"/>
      <c r="GTW77" s="44"/>
      <c r="GTX77" s="44"/>
      <c r="GTY77" s="44"/>
      <c r="GTZ77" s="44"/>
      <c r="GUA77" s="44"/>
      <c r="GUB77" s="44"/>
      <c r="GUC77" s="44"/>
      <c r="GUD77" s="44"/>
      <c r="GUE77" s="44"/>
      <c r="GUF77" s="44"/>
      <c r="GUG77" s="44"/>
      <c r="GUH77" s="44"/>
      <c r="GUI77" s="44"/>
      <c r="GUJ77" s="44"/>
      <c r="GUK77" s="44"/>
      <c r="GUL77" s="44"/>
      <c r="GUM77" s="44"/>
      <c r="GUN77" s="44"/>
      <c r="GUO77" s="44"/>
      <c r="GUP77" s="44"/>
      <c r="GUQ77" s="44"/>
      <c r="GUR77" s="44"/>
      <c r="GUS77" s="44"/>
      <c r="GUT77" s="44"/>
      <c r="GUU77" s="44"/>
      <c r="GUV77" s="44"/>
      <c r="GUW77" s="44"/>
      <c r="GUX77" s="44"/>
      <c r="GUY77" s="44"/>
      <c r="GUZ77" s="44"/>
      <c r="GVA77" s="44"/>
      <c r="GVB77" s="44"/>
      <c r="GVC77" s="44"/>
      <c r="GVD77" s="44"/>
      <c r="GVE77" s="44"/>
      <c r="GVF77" s="44"/>
      <c r="GVG77" s="44"/>
      <c r="GVH77" s="44"/>
      <c r="GVI77" s="44"/>
      <c r="GVJ77" s="44"/>
      <c r="GVK77" s="44"/>
      <c r="GVL77" s="44"/>
      <c r="GVM77" s="44"/>
      <c r="GVN77" s="44"/>
      <c r="GVO77" s="44"/>
      <c r="GVP77" s="44"/>
      <c r="GVQ77" s="44"/>
      <c r="GVR77" s="44"/>
      <c r="GVS77" s="44"/>
      <c r="GVT77" s="44"/>
      <c r="GVU77" s="44"/>
      <c r="GVV77" s="44"/>
      <c r="GVW77" s="44"/>
      <c r="GVX77" s="44"/>
      <c r="GVY77" s="44"/>
      <c r="GVZ77" s="44"/>
      <c r="GWA77" s="44"/>
      <c r="GWB77" s="44"/>
      <c r="GWC77" s="44"/>
      <c r="GWD77" s="44"/>
      <c r="GWE77" s="44"/>
      <c r="GWF77" s="44"/>
      <c r="GWG77" s="44"/>
      <c r="GWH77" s="44"/>
      <c r="GWI77" s="44"/>
      <c r="GWJ77" s="44"/>
      <c r="GWK77" s="44"/>
      <c r="GWL77" s="44"/>
      <c r="GWM77" s="44"/>
      <c r="GWN77" s="44"/>
      <c r="GWO77" s="44"/>
      <c r="GWP77" s="44"/>
      <c r="GWQ77" s="44"/>
      <c r="GWR77" s="44"/>
      <c r="GWS77" s="44"/>
      <c r="GWT77" s="44"/>
      <c r="GWU77" s="44"/>
      <c r="GWV77" s="44"/>
      <c r="GWW77" s="44"/>
      <c r="GWX77" s="44"/>
      <c r="GWY77" s="44"/>
      <c r="GWZ77" s="44"/>
      <c r="GXA77" s="44"/>
      <c r="GXB77" s="44"/>
      <c r="GXC77" s="44"/>
      <c r="GXD77" s="44"/>
      <c r="GXE77" s="44"/>
      <c r="GXF77" s="44"/>
      <c r="GXG77" s="44"/>
      <c r="GXH77" s="44"/>
      <c r="GXI77" s="44"/>
      <c r="GXJ77" s="44"/>
      <c r="GXK77" s="44"/>
      <c r="GXL77" s="44"/>
      <c r="GXM77" s="44"/>
      <c r="GXN77" s="44"/>
      <c r="GXO77" s="44"/>
      <c r="GXP77" s="44"/>
      <c r="GXQ77" s="44"/>
      <c r="GXR77" s="44"/>
      <c r="GXS77" s="44"/>
      <c r="GXT77" s="44"/>
      <c r="GXU77" s="44"/>
      <c r="GXV77" s="44"/>
      <c r="GXW77" s="44"/>
      <c r="GXX77" s="44"/>
      <c r="GXY77" s="44"/>
      <c r="GXZ77" s="44"/>
      <c r="GYA77" s="44"/>
      <c r="GYB77" s="44"/>
      <c r="GYC77" s="44"/>
      <c r="GYD77" s="44"/>
      <c r="GYE77" s="44"/>
      <c r="GYF77" s="44"/>
      <c r="GYG77" s="44"/>
      <c r="GYH77" s="44"/>
      <c r="GYI77" s="44"/>
      <c r="GYJ77" s="44"/>
      <c r="GYK77" s="44"/>
      <c r="GYL77" s="44"/>
      <c r="GYM77" s="44"/>
      <c r="GYN77" s="44"/>
      <c r="GYO77" s="44"/>
      <c r="GYP77" s="44"/>
      <c r="GYQ77" s="44"/>
      <c r="GYR77" s="44"/>
      <c r="GYS77" s="44"/>
      <c r="GYT77" s="44"/>
      <c r="GYU77" s="44"/>
      <c r="GYV77" s="44"/>
      <c r="GYW77" s="44"/>
      <c r="GYX77" s="44"/>
      <c r="GYY77" s="44"/>
      <c r="GYZ77" s="44"/>
      <c r="GZA77" s="44"/>
      <c r="GZB77" s="44"/>
      <c r="GZC77" s="44"/>
      <c r="GZD77" s="44"/>
      <c r="GZE77" s="44"/>
      <c r="GZF77" s="44"/>
      <c r="GZG77" s="44"/>
      <c r="GZH77" s="44"/>
      <c r="GZI77" s="44"/>
      <c r="GZJ77" s="44"/>
      <c r="GZK77" s="44"/>
      <c r="GZL77" s="44"/>
      <c r="GZM77" s="44"/>
      <c r="GZN77" s="44"/>
      <c r="GZO77" s="44"/>
      <c r="GZP77" s="44"/>
      <c r="GZQ77" s="44"/>
      <c r="GZR77" s="44"/>
      <c r="GZS77" s="44"/>
      <c r="GZT77" s="44"/>
      <c r="GZU77" s="44"/>
      <c r="GZV77" s="44"/>
      <c r="GZW77" s="44"/>
      <c r="GZX77" s="44"/>
      <c r="GZY77" s="44"/>
      <c r="GZZ77" s="44"/>
      <c r="HAA77" s="44"/>
      <c r="HAB77" s="44"/>
      <c r="HAC77" s="44"/>
      <c r="HAD77" s="44"/>
      <c r="HAE77" s="44"/>
      <c r="HAF77" s="44"/>
      <c r="HAG77" s="44"/>
      <c r="HAH77" s="44"/>
      <c r="HAI77" s="44"/>
      <c r="HAJ77" s="44"/>
      <c r="HAK77" s="44"/>
      <c r="HAL77" s="44"/>
      <c r="HAM77" s="44"/>
      <c r="HAN77" s="44"/>
      <c r="HAO77" s="44"/>
      <c r="HAP77" s="44"/>
      <c r="HAQ77" s="44"/>
      <c r="HAR77" s="44"/>
      <c r="HAS77" s="44"/>
      <c r="HAT77" s="44"/>
      <c r="HAU77" s="44"/>
      <c r="HAV77" s="44"/>
      <c r="HAW77" s="44"/>
      <c r="HAX77" s="44"/>
      <c r="HAY77" s="44"/>
      <c r="HAZ77" s="44"/>
      <c r="HBA77" s="44"/>
      <c r="HBB77" s="44"/>
      <c r="HBC77" s="44"/>
      <c r="HBD77" s="44"/>
      <c r="HBE77" s="44"/>
      <c r="HBF77" s="44"/>
      <c r="HBG77" s="44"/>
      <c r="HBH77" s="44"/>
      <c r="HBI77" s="44"/>
      <c r="HBJ77" s="44"/>
      <c r="HBK77" s="44"/>
      <c r="HBL77" s="44"/>
      <c r="HBM77" s="44"/>
      <c r="HBN77" s="44"/>
      <c r="HBO77" s="44"/>
      <c r="HBP77" s="44"/>
      <c r="HBQ77" s="44"/>
      <c r="HBR77" s="44"/>
      <c r="HBS77" s="44"/>
      <c r="HBT77" s="44"/>
      <c r="HBU77" s="44"/>
      <c r="HBV77" s="44"/>
      <c r="HBW77" s="44"/>
      <c r="HBX77" s="44"/>
      <c r="HBY77" s="44"/>
      <c r="HBZ77" s="44"/>
      <c r="HCA77" s="44"/>
      <c r="HCB77" s="44"/>
      <c r="HCC77" s="44"/>
      <c r="HCD77" s="44"/>
      <c r="HCE77" s="44"/>
      <c r="HCF77" s="44"/>
      <c r="HCG77" s="44"/>
      <c r="HCH77" s="44"/>
      <c r="HCI77" s="44"/>
      <c r="HCJ77" s="44"/>
      <c r="HCK77" s="44"/>
      <c r="HCL77" s="44"/>
      <c r="HCM77" s="44"/>
      <c r="HCN77" s="44"/>
      <c r="HCO77" s="44"/>
      <c r="HCP77" s="44"/>
      <c r="HCQ77" s="44"/>
      <c r="HCR77" s="44"/>
      <c r="HCS77" s="44"/>
      <c r="HCT77" s="44"/>
      <c r="HCU77" s="44"/>
      <c r="HCV77" s="44"/>
      <c r="HCW77" s="44"/>
      <c r="HCX77" s="44"/>
      <c r="HCY77" s="44"/>
      <c r="HCZ77" s="44"/>
      <c r="HDA77" s="44"/>
      <c r="HDB77" s="44"/>
      <c r="HDC77" s="44"/>
      <c r="HDD77" s="44"/>
      <c r="HDE77" s="44"/>
      <c r="HDF77" s="44"/>
      <c r="HDG77" s="44"/>
      <c r="HDH77" s="44"/>
      <c r="HDI77" s="44"/>
      <c r="HDJ77" s="44"/>
      <c r="HDK77" s="44"/>
      <c r="HDL77" s="44"/>
      <c r="HDM77" s="44"/>
      <c r="HDN77" s="44"/>
      <c r="HDO77" s="44"/>
      <c r="HDP77" s="44"/>
      <c r="HDQ77" s="44"/>
      <c r="HDR77" s="44"/>
      <c r="HDS77" s="44"/>
      <c r="HDT77" s="44"/>
      <c r="HDU77" s="44"/>
      <c r="HDV77" s="44"/>
      <c r="HDW77" s="44"/>
      <c r="HDX77" s="44"/>
      <c r="HDY77" s="44"/>
      <c r="HDZ77" s="44"/>
      <c r="HEA77" s="44"/>
      <c r="HEB77" s="44"/>
      <c r="HEC77" s="44"/>
      <c r="HED77" s="44"/>
      <c r="HEE77" s="44"/>
      <c r="HEF77" s="44"/>
      <c r="HEG77" s="44"/>
      <c r="HEH77" s="44"/>
      <c r="HEI77" s="44"/>
      <c r="HEJ77" s="44"/>
      <c r="HEK77" s="44"/>
      <c r="HEL77" s="44"/>
      <c r="HEM77" s="44"/>
      <c r="HEN77" s="44"/>
      <c r="HEO77" s="44"/>
      <c r="HEP77" s="44"/>
      <c r="HEQ77" s="44"/>
      <c r="HER77" s="44"/>
      <c r="HES77" s="44"/>
      <c r="HET77" s="44"/>
      <c r="HEU77" s="44"/>
      <c r="HEV77" s="44"/>
      <c r="HEW77" s="44"/>
      <c r="HEX77" s="44"/>
      <c r="HEY77" s="44"/>
      <c r="HEZ77" s="44"/>
      <c r="HFA77" s="44"/>
      <c r="HFB77" s="44"/>
      <c r="HFC77" s="44"/>
      <c r="HFD77" s="44"/>
      <c r="HFE77" s="44"/>
      <c r="HFF77" s="44"/>
      <c r="HFG77" s="44"/>
      <c r="HFH77" s="44"/>
      <c r="HFI77" s="44"/>
      <c r="HFJ77" s="44"/>
      <c r="HFK77" s="44"/>
      <c r="HFL77" s="44"/>
      <c r="HFM77" s="44"/>
      <c r="HFN77" s="44"/>
      <c r="HFO77" s="44"/>
      <c r="HFP77" s="44"/>
      <c r="HFQ77" s="44"/>
      <c r="HFR77" s="44"/>
      <c r="HFS77" s="44"/>
      <c r="HFT77" s="44"/>
      <c r="HFU77" s="44"/>
      <c r="HFV77" s="44"/>
      <c r="HFW77" s="44"/>
      <c r="HFX77" s="44"/>
      <c r="HFY77" s="44"/>
      <c r="HFZ77" s="44"/>
      <c r="HGA77" s="44"/>
      <c r="HGB77" s="44"/>
      <c r="HGC77" s="44"/>
      <c r="HGD77" s="44"/>
      <c r="HGE77" s="44"/>
      <c r="HGF77" s="44"/>
      <c r="HGG77" s="44"/>
      <c r="HGH77" s="44"/>
      <c r="HGI77" s="44"/>
      <c r="HGJ77" s="44"/>
      <c r="HGK77" s="44"/>
      <c r="HGL77" s="44"/>
      <c r="HGM77" s="44"/>
      <c r="HGN77" s="44"/>
      <c r="HGO77" s="44"/>
      <c r="HGP77" s="44"/>
      <c r="HGQ77" s="44"/>
      <c r="HGR77" s="44"/>
      <c r="HGS77" s="44"/>
      <c r="HGT77" s="44"/>
      <c r="HGU77" s="44"/>
      <c r="HGV77" s="44"/>
      <c r="HGW77" s="44"/>
      <c r="HGX77" s="44"/>
      <c r="HGY77" s="44"/>
      <c r="HGZ77" s="44"/>
      <c r="HHA77" s="44"/>
      <c r="HHB77" s="44"/>
      <c r="HHC77" s="44"/>
      <c r="HHD77" s="44"/>
      <c r="HHE77" s="44"/>
      <c r="HHF77" s="44"/>
      <c r="HHG77" s="44"/>
      <c r="HHH77" s="44"/>
      <c r="HHI77" s="44"/>
      <c r="HHJ77" s="44"/>
      <c r="HHK77" s="44"/>
      <c r="HHL77" s="44"/>
      <c r="HHM77" s="44"/>
      <c r="HHN77" s="44"/>
      <c r="HHO77" s="44"/>
      <c r="HHP77" s="44"/>
      <c r="HHQ77" s="44"/>
      <c r="HHR77" s="44"/>
      <c r="HHS77" s="44"/>
      <c r="HHT77" s="44"/>
      <c r="HHU77" s="44"/>
      <c r="HHV77" s="44"/>
      <c r="HHW77" s="44"/>
      <c r="HHX77" s="44"/>
      <c r="HHY77" s="44"/>
      <c r="HHZ77" s="44"/>
      <c r="HIA77" s="44"/>
      <c r="HIB77" s="44"/>
      <c r="HIC77" s="44"/>
      <c r="HID77" s="44"/>
      <c r="HIE77" s="44"/>
      <c r="HIF77" s="44"/>
      <c r="HIG77" s="44"/>
      <c r="HIH77" s="44"/>
      <c r="HII77" s="44"/>
      <c r="HIJ77" s="44"/>
      <c r="HIK77" s="44"/>
      <c r="HIL77" s="44"/>
      <c r="HIM77" s="44"/>
      <c r="HIN77" s="44"/>
      <c r="HIO77" s="44"/>
      <c r="HIP77" s="44"/>
      <c r="HIQ77" s="44"/>
      <c r="HIR77" s="44"/>
      <c r="HIS77" s="44"/>
      <c r="HIT77" s="44"/>
      <c r="HIU77" s="44"/>
      <c r="HIV77" s="44"/>
      <c r="HIW77" s="44"/>
      <c r="HIX77" s="44"/>
      <c r="HIY77" s="44"/>
      <c r="HIZ77" s="44"/>
      <c r="HJA77" s="44"/>
      <c r="HJB77" s="44"/>
      <c r="HJC77" s="44"/>
      <c r="HJD77" s="44"/>
      <c r="HJE77" s="44"/>
      <c r="HJF77" s="44"/>
      <c r="HJG77" s="44"/>
      <c r="HJH77" s="44"/>
      <c r="HJI77" s="44"/>
      <c r="HJJ77" s="44"/>
      <c r="HJK77" s="44"/>
      <c r="HJL77" s="44"/>
      <c r="HJM77" s="44"/>
      <c r="HJN77" s="44"/>
      <c r="HJO77" s="44"/>
      <c r="HJP77" s="44"/>
      <c r="HJQ77" s="44"/>
      <c r="HJR77" s="44"/>
      <c r="HJS77" s="44"/>
      <c r="HJT77" s="44"/>
      <c r="HJU77" s="44"/>
      <c r="HJV77" s="44"/>
      <c r="HJW77" s="44"/>
      <c r="HJX77" s="44"/>
      <c r="HJY77" s="44"/>
      <c r="HJZ77" s="44"/>
      <c r="HKA77" s="44"/>
      <c r="HKB77" s="44"/>
      <c r="HKC77" s="44"/>
      <c r="HKD77" s="44"/>
      <c r="HKE77" s="44"/>
      <c r="HKF77" s="44"/>
      <c r="HKG77" s="44"/>
      <c r="HKH77" s="44"/>
      <c r="HKI77" s="44"/>
      <c r="HKJ77" s="44"/>
      <c r="HKK77" s="44"/>
      <c r="HKL77" s="44"/>
      <c r="HKM77" s="44"/>
      <c r="HKN77" s="44"/>
      <c r="HKO77" s="44"/>
      <c r="HKP77" s="44"/>
      <c r="HKQ77" s="44"/>
      <c r="HKR77" s="44"/>
      <c r="HKS77" s="44"/>
      <c r="HKT77" s="44"/>
      <c r="HKU77" s="44"/>
      <c r="HKV77" s="44"/>
      <c r="HKW77" s="44"/>
      <c r="HKX77" s="44"/>
      <c r="HKY77" s="44"/>
      <c r="HKZ77" s="44"/>
      <c r="HLA77" s="44"/>
      <c r="HLB77" s="44"/>
      <c r="HLC77" s="44"/>
      <c r="HLD77" s="44"/>
      <c r="HLE77" s="44"/>
      <c r="HLF77" s="44"/>
      <c r="HLG77" s="44"/>
      <c r="HLH77" s="44"/>
      <c r="HLI77" s="44"/>
      <c r="HLJ77" s="44"/>
      <c r="HLK77" s="44"/>
      <c r="HLL77" s="44"/>
      <c r="HLM77" s="44"/>
      <c r="HLN77" s="44"/>
      <c r="HLO77" s="44"/>
      <c r="HLP77" s="44"/>
      <c r="HLQ77" s="44"/>
      <c r="HLR77" s="44"/>
      <c r="HLS77" s="44"/>
      <c r="HLT77" s="44"/>
      <c r="HLU77" s="44"/>
      <c r="HLV77" s="44"/>
      <c r="HLW77" s="44"/>
      <c r="HLX77" s="44"/>
      <c r="HLY77" s="44"/>
      <c r="HLZ77" s="44"/>
      <c r="HMA77" s="44"/>
      <c r="HMB77" s="44"/>
      <c r="HMC77" s="44"/>
      <c r="HMD77" s="44"/>
      <c r="HME77" s="44"/>
      <c r="HMF77" s="44"/>
      <c r="HMG77" s="44"/>
      <c r="HMH77" s="44"/>
      <c r="HMI77" s="44"/>
      <c r="HMJ77" s="44"/>
      <c r="HMK77" s="44"/>
      <c r="HML77" s="44"/>
      <c r="HMM77" s="44"/>
      <c r="HMN77" s="44"/>
      <c r="HMO77" s="44"/>
      <c r="HMP77" s="44"/>
      <c r="HMQ77" s="44"/>
      <c r="HMR77" s="44"/>
      <c r="HMS77" s="44"/>
      <c r="HMT77" s="44"/>
      <c r="HMU77" s="44"/>
      <c r="HMV77" s="44"/>
      <c r="HMW77" s="44"/>
      <c r="HMX77" s="44"/>
      <c r="HMY77" s="44"/>
      <c r="HMZ77" s="44"/>
      <c r="HNA77" s="44"/>
      <c r="HNB77" s="44"/>
      <c r="HNC77" s="44"/>
      <c r="HND77" s="44"/>
      <c r="HNE77" s="44"/>
      <c r="HNF77" s="44"/>
      <c r="HNG77" s="44"/>
      <c r="HNH77" s="44"/>
      <c r="HNI77" s="44"/>
      <c r="HNJ77" s="44"/>
      <c r="HNK77" s="44"/>
      <c r="HNL77" s="44"/>
      <c r="HNM77" s="44"/>
      <c r="HNN77" s="44"/>
      <c r="HNO77" s="44"/>
      <c r="HNP77" s="44"/>
      <c r="HNQ77" s="44"/>
      <c r="HNR77" s="44"/>
      <c r="HNS77" s="44"/>
      <c r="HNT77" s="44"/>
      <c r="HNU77" s="44"/>
      <c r="HNV77" s="44"/>
      <c r="HNW77" s="44"/>
      <c r="HNX77" s="44"/>
      <c r="HNY77" s="44"/>
      <c r="HNZ77" s="44"/>
      <c r="HOA77" s="44"/>
      <c r="HOB77" s="44"/>
      <c r="HOC77" s="44"/>
      <c r="HOD77" s="44"/>
      <c r="HOE77" s="44"/>
      <c r="HOF77" s="44"/>
      <c r="HOG77" s="44"/>
      <c r="HOH77" s="44"/>
      <c r="HOI77" s="44"/>
      <c r="HOJ77" s="44"/>
      <c r="HOK77" s="44"/>
      <c r="HOL77" s="44"/>
      <c r="HOM77" s="44"/>
      <c r="HON77" s="44"/>
      <c r="HOO77" s="44"/>
      <c r="HOP77" s="44"/>
      <c r="HOQ77" s="44"/>
      <c r="HOR77" s="44"/>
      <c r="HOS77" s="44"/>
      <c r="HOT77" s="44"/>
      <c r="HOU77" s="44"/>
      <c r="HOV77" s="44"/>
      <c r="HOW77" s="44"/>
      <c r="HOX77" s="44"/>
      <c r="HOY77" s="44"/>
      <c r="HOZ77" s="44"/>
      <c r="HPA77" s="44"/>
      <c r="HPB77" s="44"/>
      <c r="HPC77" s="44"/>
      <c r="HPD77" s="44"/>
      <c r="HPE77" s="44"/>
      <c r="HPF77" s="44"/>
      <c r="HPG77" s="44"/>
      <c r="HPH77" s="44"/>
      <c r="HPI77" s="44"/>
      <c r="HPJ77" s="44"/>
      <c r="HPK77" s="44"/>
      <c r="HPL77" s="44"/>
      <c r="HPM77" s="44"/>
      <c r="HPN77" s="44"/>
      <c r="HPO77" s="44"/>
      <c r="HPP77" s="44"/>
      <c r="HPQ77" s="44"/>
      <c r="HPR77" s="44"/>
      <c r="HPS77" s="44"/>
      <c r="HPT77" s="44"/>
      <c r="HPU77" s="44"/>
      <c r="HPV77" s="44"/>
      <c r="HPW77" s="44"/>
      <c r="HPX77" s="44"/>
      <c r="HPY77" s="44"/>
      <c r="HPZ77" s="44"/>
      <c r="HQA77" s="44"/>
      <c r="HQB77" s="44"/>
      <c r="HQC77" s="44"/>
      <c r="HQD77" s="44"/>
      <c r="HQE77" s="44"/>
      <c r="HQF77" s="44"/>
      <c r="HQG77" s="44"/>
      <c r="HQH77" s="44"/>
      <c r="HQI77" s="44"/>
      <c r="HQJ77" s="44"/>
      <c r="HQK77" s="44"/>
      <c r="HQL77" s="44"/>
      <c r="HQM77" s="44"/>
      <c r="HQN77" s="44"/>
      <c r="HQO77" s="44"/>
      <c r="HQP77" s="44"/>
      <c r="HQQ77" s="44"/>
      <c r="HQR77" s="44"/>
      <c r="HQS77" s="44"/>
      <c r="HQT77" s="44"/>
      <c r="HQU77" s="44"/>
      <c r="HQV77" s="44"/>
      <c r="HQW77" s="44"/>
      <c r="HQX77" s="44"/>
      <c r="HQY77" s="44"/>
      <c r="HQZ77" s="44"/>
      <c r="HRA77" s="44"/>
      <c r="HRB77" s="44"/>
      <c r="HRC77" s="44"/>
      <c r="HRD77" s="44"/>
      <c r="HRE77" s="44"/>
      <c r="HRF77" s="44"/>
      <c r="HRG77" s="44"/>
      <c r="HRH77" s="44"/>
      <c r="HRI77" s="44"/>
      <c r="HRJ77" s="44"/>
      <c r="HRK77" s="44"/>
      <c r="HRL77" s="44"/>
      <c r="HRM77" s="44"/>
      <c r="HRN77" s="44"/>
      <c r="HRO77" s="44"/>
      <c r="HRP77" s="44"/>
      <c r="HRQ77" s="44"/>
      <c r="HRR77" s="44"/>
      <c r="HRS77" s="44"/>
      <c r="HRT77" s="44"/>
      <c r="HRU77" s="44"/>
      <c r="HRV77" s="44"/>
      <c r="HRW77" s="44"/>
      <c r="HRX77" s="44"/>
      <c r="HRY77" s="44"/>
      <c r="HRZ77" s="44"/>
      <c r="HSA77" s="44"/>
      <c r="HSB77" s="44"/>
      <c r="HSC77" s="44"/>
      <c r="HSD77" s="44"/>
      <c r="HSE77" s="44"/>
      <c r="HSF77" s="44"/>
      <c r="HSG77" s="44"/>
      <c r="HSH77" s="44"/>
      <c r="HSI77" s="44"/>
      <c r="HSJ77" s="44"/>
      <c r="HSK77" s="44"/>
      <c r="HSL77" s="44"/>
      <c r="HSM77" s="44"/>
      <c r="HSN77" s="44"/>
      <c r="HSO77" s="44"/>
      <c r="HSP77" s="44"/>
      <c r="HSQ77" s="44"/>
      <c r="HSR77" s="44"/>
      <c r="HSS77" s="44"/>
      <c r="HST77" s="44"/>
      <c r="HSU77" s="44"/>
      <c r="HSV77" s="44"/>
      <c r="HSW77" s="44"/>
      <c r="HSX77" s="44"/>
      <c r="HSY77" s="44"/>
      <c r="HSZ77" s="44"/>
      <c r="HTA77" s="44"/>
      <c r="HTB77" s="44"/>
      <c r="HTC77" s="44"/>
      <c r="HTD77" s="44"/>
      <c r="HTE77" s="44"/>
      <c r="HTF77" s="44"/>
      <c r="HTG77" s="44"/>
      <c r="HTH77" s="44"/>
      <c r="HTI77" s="44"/>
      <c r="HTJ77" s="44"/>
      <c r="HTK77" s="44"/>
      <c r="HTL77" s="44"/>
      <c r="HTM77" s="44"/>
      <c r="HTN77" s="44"/>
      <c r="HTO77" s="44"/>
      <c r="HTP77" s="44"/>
      <c r="HTQ77" s="44"/>
      <c r="HTR77" s="44"/>
      <c r="HTS77" s="44"/>
      <c r="HTT77" s="44"/>
      <c r="HTU77" s="44"/>
      <c r="HTV77" s="44"/>
      <c r="HTW77" s="44"/>
      <c r="HTX77" s="44"/>
      <c r="HTY77" s="44"/>
      <c r="HTZ77" s="44"/>
      <c r="HUA77" s="44"/>
      <c r="HUB77" s="44"/>
      <c r="HUC77" s="44"/>
      <c r="HUD77" s="44"/>
      <c r="HUE77" s="44"/>
      <c r="HUF77" s="44"/>
      <c r="HUG77" s="44"/>
      <c r="HUH77" s="44"/>
      <c r="HUI77" s="44"/>
      <c r="HUJ77" s="44"/>
      <c r="HUK77" s="44"/>
      <c r="HUL77" s="44"/>
      <c r="HUM77" s="44"/>
      <c r="HUN77" s="44"/>
      <c r="HUO77" s="44"/>
      <c r="HUP77" s="44"/>
      <c r="HUQ77" s="44"/>
      <c r="HUR77" s="44"/>
      <c r="HUS77" s="44"/>
      <c r="HUT77" s="44"/>
      <c r="HUU77" s="44"/>
      <c r="HUV77" s="44"/>
      <c r="HUW77" s="44"/>
      <c r="HUX77" s="44"/>
      <c r="HUY77" s="44"/>
      <c r="HUZ77" s="44"/>
      <c r="HVA77" s="44"/>
      <c r="HVB77" s="44"/>
      <c r="HVC77" s="44"/>
      <c r="HVD77" s="44"/>
      <c r="HVE77" s="44"/>
      <c r="HVF77" s="44"/>
      <c r="HVG77" s="44"/>
      <c r="HVH77" s="44"/>
      <c r="HVI77" s="44"/>
      <c r="HVJ77" s="44"/>
      <c r="HVK77" s="44"/>
      <c r="HVL77" s="44"/>
      <c r="HVM77" s="44"/>
      <c r="HVN77" s="44"/>
      <c r="HVO77" s="44"/>
      <c r="HVP77" s="44"/>
      <c r="HVQ77" s="44"/>
      <c r="HVR77" s="44"/>
      <c r="HVS77" s="44"/>
      <c r="HVT77" s="44"/>
      <c r="HVU77" s="44"/>
      <c r="HVV77" s="44"/>
      <c r="HVW77" s="44"/>
      <c r="HVX77" s="44"/>
      <c r="HVY77" s="44"/>
      <c r="HVZ77" s="44"/>
      <c r="HWA77" s="44"/>
      <c r="HWB77" s="44"/>
      <c r="HWC77" s="44"/>
      <c r="HWD77" s="44"/>
      <c r="HWE77" s="44"/>
      <c r="HWF77" s="44"/>
      <c r="HWG77" s="44"/>
      <c r="HWH77" s="44"/>
      <c r="HWI77" s="44"/>
      <c r="HWJ77" s="44"/>
      <c r="HWK77" s="44"/>
      <c r="HWL77" s="44"/>
      <c r="HWM77" s="44"/>
      <c r="HWN77" s="44"/>
      <c r="HWO77" s="44"/>
      <c r="HWP77" s="44"/>
      <c r="HWQ77" s="44"/>
      <c r="HWR77" s="44"/>
      <c r="HWS77" s="44"/>
      <c r="HWT77" s="44"/>
      <c r="HWU77" s="44"/>
      <c r="HWV77" s="44"/>
      <c r="HWW77" s="44"/>
      <c r="HWX77" s="44"/>
      <c r="HWY77" s="44"/>
      <c r="HWZ77" s="44"/>
      <c r="HXA77" s="44"/>
      <c r="HXB77" s="44"/>
      <c r="HXC77" s="44"/>
      <c r="HXD77" s="44"/>
      <c r="HXE77" s="44"/>
      <c r="HXF77" s="44"/>
      <c r="HXG77" s="44"/>
      <c r="HXH77" s="44"/>
      <c r="HXI77" s="44"/>
      <c r="HXJ77" s="44"/>
      <c r="HXK77" s="44"/>
      <c r="HXL77" s="44"/>
      <c r="HXM77" s="44"/>
      <c r="HXN77" s="44"/>
      <c r="HXO77" s="44"/>
      <c r="HXP77" s="44"/>
      <c r="HXQ77" s="44"/>
      <c r="HXR77" s="44"/>
      <c r="HXS77" s="44"/>
      <c r="HXT77" s="44"/>
      <c r="HXU77" s="44"/>
      <c r="HXV77" s="44"/>
      <c r="HXW77" s="44"/>
      <c r="HXX77" s="44"/>
      <c r="HXY77" s="44"/>
      <c r="HXZ77" s="44"/>
      <c r="HYA77" s="44"/>
      <c r="HYB77" s="44"/>
      <c r="HYC77" s="44"/>
      <c r="HYD77" s="44"/>
      <c r="HYE77" s="44"/>
      <c r="HYF77" s="44"/>
      <c r="HYG77" s="44"/>
      <c r="HYH77" s="44"/>
      <c r="HYI77" s="44"/>
      <c r="HYJ77" s="44"/>
      <c r="HYK77" s="44"/>
      <c r="HYL77" s="44"/>
      <c r="HYM77" s="44"/>
      <c r="HYN77" s="44"/>
      <c r="HYO77" s="44"/>
      <c r="HYP77" s="44"/>
      <c r="HYQ77" s="44"/>
      <c r="HYR77" s="44"/>
      <c r="HYS77" s="44"/>
      <c r="HYT77" s="44"/>
      <c r="HYU77" s="44"/>
      <c r="HYV77" s="44"/>
      <c r="HYW77" s="44"/>
      <c r="HYX77" s="44"/>
      <c r="HYY77" s="44"/>
      <c r="HYZ77" s="44"/>
      <c r="HZA77" s="44"/>
      <c r="HZB77" s="44"/>
      <c r="HZC77" s="44"/>
      <c r="HZD77" s="44"/>
      <c r="HZE77" s="44"/>
      <c r="HZF77" s="44"/>
      <c r="HZG77" s="44"/>
      <c r="HZH77" s="44"/>
      <c r="HZI77" s="44"/>
      <c r="HZJ77" s="44"/>
      <c r="HZK77" s="44"/>
      <c r="HZL77" s="44"/>
      <c r="HZM77" s="44"/>
      <c r="HZN77" s="44"/>
      <c r="HZO77" s="44"/>
      <c r="HZP77" s="44"/>
      <c r="HZQ77" s="44"/>
      <c r="HZR77" s="44"/>
      <c r="HZS77" s="44"/>
      <c r="HZT77" s="44"/>
      <c r="HZU77" s="44"/>
      <c r="HZV77" s="44"/>
      <c r="HZW77" s="44"/>
      <c r="HZX77" s="44"/>
      <c r="HZY77" s="44"/>
      <c r="HZZ77" s="44"/>
      <c r="IAA77" s="44"/>
      <c r="IAB77" s="44"/>
      <c r="IAC77" s="44"/>
      <c r="IAD77" s="44"/>
      <c r="IAE77" s="44"/>
      <c r="IAF77" s="44"/>
      <c r="IAG77" s="44"/>
      <c r="IAH77" s="44"/>
      <c r="IAI77" s="44"/>
      <c r="IAJ77" s="44"/>
      <c r="IAK77" s="44"/>
      <c r="IAL77" s="44"/>
      <c r="IAM77" s="44"/>
      <c r="IAN77" s="44"/>
      <c r="IAO77" s="44"/>
      <c r="IAP77" s="44"/>
      <c r="IAQ77" s="44"/>
      <c r="IAR77" s="44"/>
      <c r="IAS77" s="44"/>
      <c r="IAT77" s="44"/>
      <c r="IAU77" s="44"/>
      <c r="IAV77" s="44"/>
      <c r="IAW77" s="44"/>
      <c r="IAX77" s="44"/>
      <c r="IAY77" s="44"/>
      <c r="IAZ77" s="44"/>
      <c r="IBA77" s="44"/>
      <c r="IBB77" s="44"/>
      <c r="IBC77" s="44"/>
      <c r="IBD77" s="44"/>
      <c r="IBE77" s="44"/>
      <c r="IBF77" s="44"/>
      <c r="IBG77" s="44"/>
      <c r="IBH77" s="44"/>
      <c r="IBI77" s="44"/>
      <c r="IBJ77" s="44"/>
      <c r="IBK77" s="44"/>
      <c r="IBL77" s="44"/>
      <c r="IBM77" s="44"/>
      <c r="IBN77" s="44"/>
      <c r="IBO77" s="44"/>
      <c r="IBP77" s="44"/>
      <c r="IBQ77" s="44"/>
      <c r="IBR77" s="44"/>
      <c r="IBS77" s="44"/>
      <c r="IBT77" s="44"/>
      <c r="IBU77" s="44"/>
      <c r="IBV77" s="44"/>
      <c r="IBW77" s="44"/>
      <c r="IBX77" s="44"/>
      <c r="IBY77" s="44"/>
      <c r="IBZ77" s="44"/>
      <c r="ICA77" s="44"/>
      <c r="ICB77" s="44"/>
      <c r="ICC77" s="44"/>
      <c r="ICD77" s="44"/>
      <c r="ICE77" s="44"/>
      <c r="ICF77" s="44"/>
      <c r="ICG77" s="44"/>
      <c r="ICH77" s="44"/>
      <c r="ICI77" s="44"/>
      <c r="ICJ77" s="44"/>
      <c r="ICK77" s="44"/>
      <c r="ICL77" s="44"/>
      <c r="ICM77" s="44"/>
      <c r="ICN77" s="44"/>
      <c r="ICO77" s="44"/>
      <c r="ICP77" s="44"/>
      <c r="ICQ77" s="44"/>
      <c r="ICR77" s="44"/>
      <c r="ICS77" s="44"/>
      <c r="ICT77" s="44"/>
      <c r="ICU77" s="44"/>
      <c r="ICV77" s="44"/>
      <c r="ICW77" s="44"/>
      <c r="ICX77" s="44"/>
      <c r="ICY77" s="44"/>
      <c r="ICZ77" s="44"/>
      <c r="IDA77" s="44"/>
      <c r="IDB77" s="44"/>
      <c r="IDC77" s="44"/>
      <c r="IDD77" s="44"/>
      <c r="IDE77" s="44"/>
      <c r="IDF77" s="44"/>
      <c r="IDG77" s="44"/>
      <c r="IDH77" s="44"/>
      <c r="IDI77" s="44"/>
      <c r="IDJ77" s="44"/>
      <c r="IDK77" s="44"/>
      <c r="IDL77" s="44"/>
      <c r="IDM77" s="44"/>
      <c r="IDN77" s="44"/>
      <c r="IDO77" s="44"/>
      <c r="IDP77" s="44"/>
      <c r="IDQ77" s="44"/>
      <c r="IDR77" s="44"/>
      <c r="IDS77" s="44"/>
      <c r="IDT77" s="44"/>
      <c r="IDU77" s="44"/>
      <c r="IDV77" s="44"/>
      <c r="IDW77" s="44"/>
      <c r="IDX77" s="44"/>
      <c r="IDY77" s="44"/>
      <c r="IDZ77" s="44"/>
      <c r="IEA77" s="44"/>
      <c r="IEB77" s="44"/>
      <c r="IEC77" s="44"/>
      <c r="IED77" s="44"/>
      <c r="IEE77" s="44"/>
      <c r="IEF77" s="44"/>
      <c r="IEG77" s="44"/>
      <c r="IEH77" s="44"/>
      <c r="IEI77" s="44"/>
      <c r="IEJ77" s="44"/>
      <c r="IEK77" s="44"/>
      <c r="IEL77" s="44"/>
      <c r="IEM77" s="44"/>
      <c r="IEN77" s="44"/>
      <c r="IEO77" s="44"/>
      <c r="IEP77" s="44"/>
      <c r="IEQ77" s="44"/>
      <c r="IER77" s="44"/>
      <c r="IES77" s="44"/>
      <c r="IET77" s="44"/>
      <c r="IEU77" s="44"/>
      <c r="IEV77" s="44"/>
      <c r="IEW77" s="44"/>
      <c r="IEX77" s="44"/>
      <c r="IEY77" s="44"/>
      <c r="IEZ77" s="44"/>
      <c r="IFA77" s="44"/>
      <c r="IFB77" s="44"/>
      <c r="IFC77" s="44"/>
      <c r="IFD77" s="44"/>
      <c r="IFE77" s="44"/>
      <c r="IFF77" s="44"/>
      <c r="IFG77" s="44"/>
      <c r="IFH77" s="44"/>
      <c r="IFI77" s="44"/>
      <c r="IFJ77" s="44"/>
      <c r="IFK77" s="44"/>
      <c r="IFL77" s="44"/>
      <c r="IFM77" s="44"/>
      <c r="IFN77" s="44"/>
      <c r="IFO77" s="44"/>
      <c r="IFP77" s="44"/>
      <c r="IFQ77" s="44"/>
      <c r="IFR77" s="44"/>
      <c r="IFS77" s="44"/>
      <c r="IFT77" s="44"/>
      <c r="IFU77" s="44"/>
      <c r="IFV77" s="44"/>
      <c r="IFW77" s="44"/>
      <c r="IFX77" s="44"/>
      <c r="IFY77" s="44"/>
      <c r="IFZ77" s="44"/>
      <c r="IGA77" s="44"/>
      <c r="IGB77" s="44"/>
      <c r="IGC77" s="44"/>
      <c r="IGD77" s="44"/>
      <c r="IGE77" s="44"/>
      <c r="IGF77" s="44"/>
      <c r="IGG77" s="44"/>
      <c r="IGH77" s="44"/>
      <c r="IGI77" s="44"/>
      <c r="IGJ77" s="44"/>
      <c r="IGK77" s="44"/>
      <c r="IGL77" s="44"/>
      <c r="IGM77" s="44"/>
      <c r="IGN77" s="44"/>
      <c r="IGO77" s="44"/>
      <c r="IGP77" s="44"/>
      <c r="IGQ77" s="44"/>
      <c r="IGR77" s="44"/>
      <c r="IGS77" s="44"/>
      <c r="IGT77" s="44"/>
      <c r="IGU77" s="44"/>
      <c r="IGV77" s="44"/>
      <c r="IGW77" s="44"/>
      <c r="IGX77" s="44"/>
      <c r="IGY77" s="44"/>
      <c r="IGZ77" s="44"/>
      <c r="IHA77" s="44"/>
      <c r="IHB77" s="44"/>
      <c r="IHC77" s="44"/>
      <c r="IHD77" s="44"/>
      <c r="IHE77" s="44"/>
      <c r="IHF77" s="44"/>
      <c r="IHG77" s="44"/>
      <c r="IHH77" s="44"/>
      <c r="IHI77" s="44"/>
      <c r="IHJ77" s="44"/>
      <c r="IHK77" s="44"/>
      <c r="IHL77" s="44"/>
      <c r="IHM77" s="44"/>
      <c r="IHN77" s="44"/>
      <c r="IHO77" s="44"/>
      <c r="IHP77" s="44"/>
      <c r="IHQ77" s="44"/>
      <c r="IHR77" s="44"/>
      <c r="IHS77" s="44"/>
      <c r="IHT77" s="44"/>
      <c r="IHU77" s="44"/>
      <c r="IHV77" s="44"/>
      <c r="IHW77" s="44"/>
      <c r="IHX77" s="44"/>
      <c r="IHY77" s="44"/>
      <c r="IHZ77" s="44"/>
      <c r="IIA77" s="44"/>
      <c r="IIB77" s="44"/>
      <c r="IIC77" s="44"/>
      <c r="IID77" s="44"/>
      <c r="IIE77" s="44"/>
      <c r="IIF77" s="44"/>
      <c r="IIG77" s="44"/>
      <c r="IIH77" s="44"/>
      <c r="III77" s="44"/>
      <c r="IIJ77" s="44"/>
      <c r="IIK77" s="44"/>
      <c r="IIL77" s="44"/>
      <c r="IIM77" s="44"/>
      <c r="IIN77" s="44"/>
      <c r="IIO77" s="44"/>
      <c r="IIP77" s="44"/>
      <c r="IIQ77" s="44"/>
      <c r="IIR77" s="44"/>
      <c r="IIS77" s="44"/>
      <c r="IIT77" s="44"/>
      <c r="IIU77" s="44"/>
      <c r="IIV77" s="44"/>
      <c r="IIW77" s="44"/>
      <c r="IIX77" s="44"/>
      <c r="IIY77" s="44"/>
      <c r="IIZ77" s="44"/>
      <c r="IJA77" s="44"/>
      <c r="IJB77" s="44"/>
      <c r="IJC77" s="44"/>
      <c r="IJD77" s="44"/>
      <c r="IJE77" s="44"/>
      <c r="IJF77" s="44"/>
      <c r="IJG77" s="44"/>
      <c r="IJH77" s="44"/>
      <c r="IJI77" s="44"/>
      <c r="IJJ77" s="44"/>
      <c r="IJK77" s="44"/>
      <c r="IJL77" s="44"/>
      <c r="IJM77" s="44"/>
      <c r="IJN77" s="44"/>
      <c r="IJO77" s="44"/>
      <c r="IJP77" s="44"/>
      <c r="IJQ77" s="44"/>
      <c r="IJR77" s="44"/>
      <c r="IJS77" s="44"/>
      <c r="IJT77" s="44"/>
      <c r="IJU77" s="44"/>
      <c r="IJV77" s="44"/>
      <c r="IJW77" s="44"/>
      <c r="IJX77" s="44"/>
      <c r="IJY77" s="44"/>
      <c r="IJZ77" s="44"/>
      <c r="IKA77" s="44"/>
      <c r="IKB77" s="44"/>
      <c r="IKC77" s="44"/>
      <c r="IKD77" s="44"/>
      <c r="IKE77" s="44"/>
      <c r="IKF77" s="44"/>
      <c r="IKG77" s="44"/>
      <c r="IKH77" s="44"/>
      <c r="IKI77" s="44"/>
      <c r="IKJ77" s="44"/>
      <c r="IKK77" s="44"/>
      <c r="IKL77" s="44"/>
      <c r="IKM77" s="44"/>
      <c r="IKN77" s="44"/>
      <c r="IKO77" s="44"/>
      <c r="IKP77" s="44"/>
      <c r="IKQ77" s="44"/>
      <c r="IKR77" s="44"/>
      <c r="IKS77" s="44"/>
      <c r="IKT77" s="44"/>
      <c r="IKU77" s="44"/>
      <c r="IKV77" s="44"/>
      <c r="IKW77" s="44"/>
      <c r="IKX77" s="44"/>
      <c r="IKY77" s="44"/>
      <c r="IKZ77" s="44"/>
      <c r="ILA77" s="44"/>
      <c r="ILB77" s="44"/>
      <c r="ILC77" s="44"/>
      <c r="ILD77" s="44"/>
      <c r="ILE77" s="44"/>
      <c r="ILF77" s="44"/>
      <c r="ILG77" s="44"/>
      <c r="ILH77" s="44"/>
      <c r="ILI77" s="44"/>
      <c r="ILJ77" s="44"/>
      <c r="ILK77" s="44"/>
      <c r="ILL77" s="44"/>
      <c r="ILM77" s="44"/>
      <c r="ILN77" s="44"/>
      <c r="ILO77" s="44"/>
      <c r="ILP77" s="44"/>
      <c r="ILQ77" s="44"/>
      <c r="ILR77" s="44"/>
      <c r="ILS77" s="44"/>
      <c r="ILT77" s="44"/>
      <c r="ILU77" s="44"/>
      <c r="ILV77" s="44"/>
      <c r="ILW77" s="44"/>
      <c r="ILX77" s="44"/>
      <c r="ILY77" s="44"/>
      <c r="ILZ77" s="44"/>
      <c r="IMA77" s="44"/>
      <c r="IMB77" s="44"/>
      <c r="IMC77" s="44"/>
      <c r="IMD77" s="44"/>
      <c r="IME77" s="44"/>
      <c r="IMF77" s="44"/>
      <c r="IMG77" s="44"/>
      <c r="IMH77" s="44"/>
      <c r="IMI77" s="44"/>
      <c r="IMJ77" s="44"/>
      <c r="IMK77" s="44"/>
      <c r="IML77" s="44"/>
      <c r="IMM77" s="44"/>
      <c r="IMN77" s="44"/>
      <c r="IMO77" s="44"/>
      <c r="IMP77" s="44"/>
      <c r="IMQ77" s="44"/>
      <c r="IMR77" s="44"/>
      <c r="IMS77" s="44"/>
      <c r="IMT77" s="44"/>
      <c r="IMU77" s="44"/>
      <c r="IMV77" s="44"/>
      <c r="IMW77" s="44"/>
      <c r="IMX77" s="44"/>
      <c r="IMY77" s="44"/>
      <c r="IMZ77" s="44"/>
      <c r="INA77" s="44"/>
      <c r="INB77" s="44"/>
      <c r="INC77" s="44"/>
      <c r="IND77" s="44"/>
      <c r="INE77" s="44"/>
      <c r="INF77" s="44"/>
      <c r="ING77" s="44"/>
      <c r="INH77" s="44"/>
      <c r="INI77" s="44"/>
      <c r="INJ77" s="44"/>
      <c r="INK77" s="44"/>
      <c r="INL77" s="44"/>
      <c r="INM77" s="44"/>
      <c r="INN77" s="44"/>
      <c r="INO77" s="44"/>
      <c r="INP77" s="44"/>
      <c r="INQ77" s="44"/>
      <c r="INR77" s="44"/>
      <c r="INS77" s="44"/>
      <c r="INT77" s="44"/>
      <c r="INU77" s="44"/>
      <c r="INV77" s="44"/>
      <c r="INW77" s="44"/>
      <c r="INX77" s="44"/>
      <c r="INY77" s="44"/>
      <c r="INZ77" s="44"/>
      <c r="IOA77" s="44"/>
      <c r="IOB77" s="44"/>
      <c r="IOC77" s="44"/>
      <c r="IOD77" s="44"/>
      <c r="IOE77" s="44"/>
      <c r="IOF77" s="44"/>
      <c r="IOG77" s="44"/>
      <c r="IOH77" s="44"/>
      <c r="IOI77" s="44"/>
      <c r="IOJ77" s="44"/>
      <c r="IOK77" s="44"/>
      <c r="IOL77" s="44"/>
      <c r="IOM77" s="44"/>
      <c r="ION77" s="44"/>
      <c r="IOO77" s="44"/>
      <c r="IOP77" s="44"/>
      <c r="IOQ77" s="44"/>
      <c r="IOR77" s="44"/>
      <c r="IOS77" s="44"/>
      <c r="IOT77" s="44"/>
      <c r="IOU77" s="44"/>
      <c r="IOV77" s="44"/>
      <c r="IOW77" s="44"/>
      <c r="IOX77" s="44"/>
      <c r="IOY77" s="44"/>
      <c r="IOZ77" s="44"/>
      <c r="IPA77" s="44"/>
      <c r="IPB77" s="44"/>
      <c r="IPC77" s="44"/>
      <c r="IPD77" s="44"/>
      <c r="IPE77" s="44"/>
      <c r="IPF77" s="44"/>
      <c r="IPG77" s="44"/>
      <c r="IPH77" s="44"/>
      <c r="IPI77" s="44"/>
      <c r="IPJ77" s="44"/>
      <c r="IPK77" s="44"/>
      <c r="IPL77" s="44"/>
      <c r="IPM77" s="44"/>
      <c r="IPN77" s="44"/>
      <c r="IPO77" s="44"/>
      <c r="IPP77" s="44"/>
      <c r="IPQ77" s="44"/>
      <c r="IPR77" s="44"/>
      <c r="IPS77" s="44"/>
      <c r="IPT77" s="44"/>
      <c r="IPU77" s="44"/>
      <c r="IPV77" s="44"/>
      <c r="IPW77" s="44"/>
      <c r="IPX77" s="44"/>
      <c r="IPY77" s="44"/>
      <c r="IPZ77" s="44"/>
      <c r="IQA77" s="44"/>
      <c r="IQB77" s="44"/>
      <c r="IQC77" s="44"/>
      <c r="IQD77" s="44"/>
      <c r="IQE77" s="44"/>
      <c r="IQF77" s="44"/>
      <c r="IQG77" s="44"/>
      <c r="IQH77" s="44"/>
      <c r="IQI77" s="44"/>
      <c r="IQJ77" s="44"/>
      <c r="IQK77" s="44"/>
      <c r="IQL77" s="44"/>
      <c r="IQM77" s="44"/>
      <c r="IQN77" s="44"/>
      <c r="IQO77" s="44"/>
      <c r="IQP77" s="44"/>
      <c r="IQQ77" s="44"/>
      <c r="IQR77" s="44"/>
      <c r="IQS77" s="44"/>
      <c r="IQT77" s="44"/>
      <c r="IQU77" s="44"/>
      <c r="IQV77" s="44"/>
      <c r="IQW77" s="44"/>
      <c r="IQX77" s="44"/>
      <c r="IQY77" s="44"/>
      <c r="IQZ77" s="44"/>
      <c r="IRA77" s="44"/>
      <c r="IRB77" s="44"/>
      <c r="IRC77" s="44"/>
      <c r="IRD77" s="44"/>
      <c r="IRE77" s="44"/>
      <c r="IRF77" s="44"/>
      <c r="IRG77" s="44"/>
      <c r="IRH77" s="44"/>
      <c r="IRI77" s="44"/>
      <c r="IRJ77" s="44"/>
      <c r="IRK77" s="44"/>
      <c r="IRL77" s="44"/>
      <c r="IRM77" s="44"/>
      <c r="IRN77" s="44"/>
      <c r="IRO77" s="44"/>
      <c r="IRP77" s="44"/>
      <c r="IRQ77" s="44"/>
      <c r="IRR77" s="44"/>
      <c r="IRS77" s="44"/>
      <c r="IRT77" s="44"/>
      <c r="IRU77" s="44"/>
      <c r="IRV77" s="44"/>
      <c r="IRW77" s="44"/>
      <c r="IRX77" s="44"/>
      <c r="IRY77" s="44"/>
      <c r="IRZ77" s="44"/>
      <c r="ISA77" s="44"/>
      <c r="ISB77" s="44"/>
      <c r="ISC77" s="44"/>
      <c r="ISD77" s="44"/>
      <c r="ISE77" s="44"/>
      <c r="ISF77" s="44"/>
      <c r="ISG77" s="44"/>
      <c r="ISH77" s="44"/>
      <c r="ISI77" s="44"/>
      <c r="ISJ77" s="44"/>
      <c r="ISK77" s="44"/>
      <c r="ISL77" s="44"/>
      <c r="ISM77" s="44"/>
      <c r="ISN77" s="44"/>
      <c r="ISO77" s="44"/>
      <c r="ISP77" s="44"/>
      <c r="ISQ77" s="44"/>
      <c r="ISR77" s="44"/>
      <c r="ISS77" s="44"/>
      <c r="IST77" s="44"/>
      <c r="ISU77" s="44"/>
      <c r="ISV77" s="44"/>
      <c r="ISW77" s="44"/>
      <c r="ISX77" s="44"/>
      <c r="ISY77" s="44"/>
      <c r="ISZ77" s="44"/>
      <c r="ITA77" s="44"/>
      <c r="ITB77" s="44"/>
      <c r="ITC77" s="44"/>
      <c r="ITD77" s="44"/>
      <c r="ITE77" s="44"/>
      <c r="ITF77" s="44"/>
      <c r="ITG77" s="44"/>
      <c r="ITH77" s="44"/>
      <c r="ITI77" s="44"/>
      <c r="ITJ77" s="44"/>
      <c r="ITK77" s="44"/>
      <c r="ITL77" s="44"/>
      <c r="ITM77" s="44"/>
      <c r="ITN77" s="44"/>
      <c r="ITO77" s="44"/>
      <c r="ITP77" s="44"/>
      <c r="ITQ77" s="44"/>
      <c r="ITR77" s="44"/>
      <c r="ITS77" s="44"/>
      <c r="ITT77" s="44"/>
      <c r="ITU77" s="44"/>
      <c r="ITV77" s="44"/>
      <c r="ITW77" s="44"/>
      <c r="ITX77" s="44"/>
      <c r="ITY77" s="44"/>
      <c r="ITZ77" s="44"/>
      <c r="IUA77" s="44"/>
      <c r="IUB77" s="44"/>
      <c r="IUC77" s="44"/>
      <c r="IUD77" s="44"/>
      <c r="IUE77" s="44"/>
      <c r="IUF77" s="44"/>
      <c r="IUG77" s="44"/>
      <c r="IUH77" s="44"/>
      <c r="IUI77" s="44"/>
      <c r="IUJ77" s="44"/>
      <c r="IUK77" s="44"/>
      <c r="IUL77" s="44"/>
      <c r="IUM77" s="44"/>
      <c r="IUN77" s="44"/>
      <c r="IUO77" s="44"/>
      <c r="IUP77" s="44"/>
      <c r="IUQ77" s="44"/>
      <c r="IUR77" s="44"/>
      <c r="IUS77" s="44"/>
      <c r="IUT77" s="44"/>
      <c r="IUU77" s="44"/>
      <c r="IUV77" s="44"/>
      <c r="IUW77" s="44"/>
      <c r="IUX77" s="44"/>
      <c r="IUY77" s="44"/>
      <c r="IUZ77" s="44"/>
      <c r="IVA77" s="44"/>
      <c r="IVB77" s="44"/>
      <c r="IVC77" s="44"/>
      <c r="IVD77" s="44"/>
      <c r="IVE77" s="44"/>
      <c r="IVF77" s="44"/>
      <c r="IVG77" s="44"/>
      <c r="IVH77" s="44"/>
      <c r="IVI77" s="44"/>
      <c r="IVJ77" s="44"/>
      <c r="IVK77" s="44"/>
      <c r="IVL77" s="44"/>
      <c r="IVM77" s="44"/>
      <c r="IVN77" s="44"/>
      <c r="IVO77" s="44"/>
      <c r="IVP77" s="44"/>
      <c r="IVQ77" s="44"/>
      <c r="IVR77" s="44"/>
      <c r="IVS77" s="44"/>
      <c r="IVT77" s="44"/>
      <c r="IVU77" s="44"/>
      <c r="IVV77" s="44"/>
      <c r="IVW77" s="44"/>
      <c r="IVX77" s="44"/>
      <c r="IVY77" s="44"/>
      <c r="IVZ77" s="44"/>
      <c r="IWA77" s="44"/>
      <c r="IWB77" s="44"/>
      <c r="IWC77" s="44"/>
      <c r="IWD77" s="44"/>
      <c r="IWE77" s="44"/>
      <c r="IWF77" s="44"/>
      <c r="IWG77" s="44"/>
      <c r="IWH77" s="44"/>
      <c r="IWI77" s="44"/>
      <c r="IWJ77" s="44"/>
      <c r="IWK77" s="44"/>
      <c r="IWL77" s="44"/>
      <c r="IWM77" s="44"/>
      <c r="IWN77" s="44"/>
      <c r="IWO77" s="44"/>
      <c r="IWP77" s="44"/>
      <c r="IWQ77" s="44"/>
      <c r="IWR77" s="44"/>
      <c r="IWS77" s="44"/>
      <c r="IWT77" s="44"/>
      <c r="IWU77" s="44"/>
      <c r="IWV77" s="44"/>
      <c r="IWW77" s="44"/>
      <c r="IWX77" s="44"/>
      <c r="IWY77" s="44"/>
      <c r="IWZ77" s="44"/>
      <c r="IXA77" s="44"/>
      <c r="IXB77" s="44"/>
      <c r="IXC77" s="44"/>
      <c r="IXD77" s="44"/>
      <c r="IXE77" s="44"/>
      <c r="IXF77" s="44"/>
      <c r="IXG77" s="44"/>
      <c r="IXH77" s="44"/>
      <c r="IXI77" s="44"/>
      <c r="IXJ77" s="44"/>
      <c r="IXK77" s="44"/>
      <c r="IXL77" s="44"/>
      <c r="IXM77" s="44"/>
      <c r="IXN77" s="44"/>
      <c r="IXO77" s="44"/>
      <c r="IXP77" s="44"/>
      <c r="IXQ77" s="44"/>
      <c r="IXR77" s="44"/>
      <c r="IXS77" s="44"/>
      <c r="IXT77" s="44"/>
      <c r="IXU77" s="44"/>
      <c r="IXV77" s="44"/>
      <c r="IXW77" s="44"/>
      <c r="IXX77" s="44"/>
      <c r="IXY77" s="44"/>
      <c r="IXZ77" s="44"/>
      <c r="IYA77" s="44"/>
      <c r="IYB77" s="44"/>
      <c r="IYC77" s="44"/>
      <c r="IYD77" s="44"/>
      <c r="IYE77" s="44"/>
      <c r="IYF77" s="44"/>
      <c r="IYG77" s="44"/>
      <c r="IYH77" s="44"/>
      <c r="IYI77" s="44"/>
      <c r="IYJ77" s="44"/>
      <c r="IYK77" s="44"/>
      <c r="IYL77" s="44"/>
      <c r="IYM77" s="44"/>
      <c r="IYN77" s="44"/>
      <c r="IYO77" s="44"/>
      <c r="IYP77" s="44"/>
      <c r="IYQ77" s="44"/>
      <c r="IYR77" s="44"/>
      <c r="IYS77" s="44"/>
      <c r="IYT77" s="44"/>
      <c r="IYU77" s="44"/>
      <c r="IYV77" s="44"/>
      <c r="IYW77" s="44"/>
      <c r="IYX77" s="44"/>
      <c r="IYY77" s="44"/>
      <c r="IYZ77" s="44"/>
      <c r="IZA77" s="44"/>
      <c r="IZB77" s="44"/>
      <c r="IZC77" s="44"/>
      <c r="IZD77" s="44"/>
      <c r="IZE77" s="44"/>
      <c r="IZF77" s="44"/>
      <c r="IZG77" s="44"/>
      <c r="IZH77" s="44"/>
      <c r="IZI77" s="44"/>
      <c r="IZJ77" s="44"/>
      <c r="IZK77" s="44"/>
      <c r="IZL77" s="44"/>
      <c r="IZM77" s="44"/>
      <c r="IZN77" s="44"/>
      <c r="IZO77" s="44"/>
      <c r="IZP77" s="44"/>
      <c r="IZQ77" s="44"/>
      <c r="IZR77" s="44"/>
      <c r="IZS77" s="44"/>
      <c r="IZT77" s="44"/>
      <c r="IZU77" s="44"/>
      <c r="IZV77" s="44"/>
      <c r="IZW77" s="44"/>
      <c r="IZX77" s="44"/>
      <c r="IZY77" s="44"/>
      <c r="IZZ77" s="44"/>
      <c r="JAA77" s="44"/>
      <c r="JAB77" s="44"/>
      <c r="JAC77" s="44"/>
      <c r="JAD77" s="44"/>
      <c r="JAE77" s="44"/>
      <c r="JAF77" s="44"/>
      <c r="JAG77" s="44"/>
      <c r="JAH77" s="44"/>
      <c r="JAI77" s="44"/>
      <c r="JAJ77" s="44"/>
      <c r="JAK77" s="44"/>
      <c r="JAL77" s="44"/>
      <c r="JAM77" s="44"/>
      <c r="JAN77" s="44"/>
      <c r="JAO77" s="44"/>
      <c r="JAP77" s="44"/>
      <c r="JAQ77" s="44"/>
      <c r="JAR77" s="44"/>
      <c r="JAS77" s="44"/>
      <c r="JAT77" s="44"/>
      <c r="JAU77" s="44"/>
      <c r="JAV77" s="44"/>
      <c r="JAW77" s="44"/>
      <c r="JAX77" s="44"/>
      <c r="JAY77" s="44"/>
      <c r="JAZ77" s="44"/>
      <c r="JBA77" s="44"/>
      <c r="JBB77" s="44"/>
      <c r="JBC77" s="44"/>
      <c r="JBD77" s="44"/>
      <c r="JBE77" s="44"/>
      <c r="JBF77" s="44"/>
      <c r="JBG77" s="44"/>
      <c r="JBH77" s="44"/>
      <c r="JBI77" s="44"/>
      <c r="JBJ77" s="44"/>
      <c r="JBK77" s="44"/>
      <c r="JBL77" s="44"/>
      <c r="JBM77" s="44"/>
      <c r="JBN77" s="44"/>
      <c r="JBO77" s="44"/>
      <c r="JBP77" s="44"/>
      <c r="JBQ77" s="44"/>
      <c r="JBR77" s="44"/>
      <c r="JBS77" s="44"/>
      <c r="JBT77" s="44"/>
      <c r="JBU77" s="44"/>
      <c r="JBV77" s="44"/>
      <c r="JBW77" s="44"/>
      <c r="JBX77" s="44"/>
      <c r="JBY77" s="44"/>
      <c r="JBZ77" s="44"/>
      <c r="JCA77" s="44"/>
      <c r="JCB77" s="44"/>
      <c r="JCC77" s="44"/>
      <c r="JCD77" s="44"/>
      <c r="JCE77" s="44"/>
      <c r="JCF77" s="44"/>
      <c r="JCG77" s="44"/>
      <c r="JCH77" s="44"/>
      <c r="JCI77" s="44"/>
      <c r="JCJ77" s="44"/>
      <c r="JCK77" s="44"/>
      <c r="JCL77" s="44"/>
      <c r="JCM77" s="44"/>
      <c r="JCN77" s="44"/>
      <c r="JCO77" s="44"/>
      <c r="JCP77" s="44"/>
      <c r="JCQ77" s="44"/>
      <c r="JCR77" s="44"/>
      <c r="JCS77" s="44"/>
      <c r="JCT77" s="44"/>
      <c r="JCU77" s="44"/>
      <c r="JCV77" s="44"/>
      <c r="JCW77" s="44"/>
      <c r="JCX77" s="44"/>
      <c r="JCY77" s="44"/>
      <c r="JCZ77" s="44"/>
      <c r="JDA77" s="44"/>
      <c r="JDB77" s="44"/>
      <c r="JDC77" s="44"/>
      <c r="JDD77" s="44"/>
      <c r="JDE77" s="44"/>
      <c r="JDF77" s="44"/>
      <c r="JDG77" s="44"/>
      <c r="JDH77" s="44"/>
      <c r="JDI77" s="44"/>
      <c r="JDJ77" s="44"/>
      <c r="JDK77" s="44"/>
      <c r="JDL77" s="44"/>
      <c r="JDM77" s="44"/>
      <c r="JDN77" s="44"/>
      <c r="JDO77" s="44"/>
      <c r="JDP77" s="44"/>
      <c r="JDQ77" s="44"/>
      <c r="JDR77" s="44"/>
      <c r="JDS77" s="44"/>
      <c r="JDT77" s="44"/>
      <c r="JDU77" s="44"/>
      <c r="JDV77" s="44"/>
      <c r="JDW77" s="44"/>
      <c r="JDX77" s="44"/>
      <c r="JDY77" s="44"/>
      <c r="JDZ77" s="44"/>
      <c r="JEA77" s="44"/>
      <c r="JEB77" s="44"/>
      <c r="JEC77" s="44"/>
      <c r="JED77" s="44"/>
      <c r="JEE77" s="44"/>
      <c r="JEF77" s="44"/>
      <c r="JEG77" s="44"/>
      <c r="JEH77" s="44"/>
      <c r="JEI77" s="44"/>
      <c r="JEJ77" s="44"/>
      <c r="JEK77" s="44"/>
      <c r="JEL77" s="44"/>
      <c r="JEM77" s="44"/>
      <c r="JEN77" s="44"/>
      <c r="JEO77" s="44"/>
      <c r="JEP77" s="44"/>
      <c r="JEQ77" s="44"/>
      <c r="JER77" s="44"/>
      <c r="JES77" s="44"/>
      <c r="JET77" s="44"/>
      <c r="JEU77" s="44"/>
      <c r="JEV77" s="44"/>
      <c r="JEW77" s="44"/>
      <c r="JEX77" s="44"/>
      <c r="JEY77" s="44"/>
      <c r="JEZ77" s="44"/>
      <c r="JFA77" s="44"/>
      <c r="JFB77" s="44"/>
      <c r="JFC77" s="44"/>
      <c r="JFD77" s="44"/>
      <c r="JFE77" s="44"/>
      <c r="JFF77" s="44"/>
      <c r="JFG77" s="44"/>
      <c r="JFH77" s="44"/>
      <c r="JFI77" s="44"/>
      <c r="JFJ77" s="44"/>
      <c r="JFK77" s="44"/>
      <c r="JFL77" s="44"/>
      <c r="JFM77" s="44"/>
      <c r="JFN77" s="44"/>
      <c r="JFO77" s="44"/>
      <c r="JFP77" s="44"/>
      <c r="JFQ77" s="44"/>
      <c r="JFR77" s="44"/>
      <c r="JFS77" s="44"/>
      <c r="JFT77" s="44"/>
      <c r="JFU77" s="44"/>
      <c r="JFV77" s="44"/>
      <c r="JFW77" s="44"/>
      <c r="JFX77" s="44"/>
      <c r="JFY77" s="44"/>
      <c r="JFZ77" s="44"/>
      <c r="JGA77" s="44"/>
      <c r="JGB77" s="44"/>
      <c r="JGC77" s="44"/>
      <c r="JGD77" s="44"/>
      <c r="JGE77" s="44"/>
      <c r="JGF77" s="44"/>
      <c r="JGG77" s="44"/>
      <c r="JGH77" s="44"/>
      <c r="JGI77" s="44"/>
      <c r="JGJ77" s="44"/>
      <c r="JGK77" s="44"/>
      <c r="JGL77" s="44"/>
      <c r="JGM77" s="44"/>
      <c r="JGN77" s="44"/>
      <c r="JGO77" s="44"/>
      <c r="JGP77" s="44"/>
      <c r="JGQ77" s="44"/>
      <c r="JGR77" s="44"/>
      <c r="JGS77" s="44"/>
      <c r="JGT77" s="44"/>
      <c r="JGU77" s="44"/>
      <c r="JGV77" s="44"/>
      <c r="JGW77" s="44"/>
      <c r="JGX77" s="44"/>
      <c r="JGY77" s="44"/>
      <c r="JGZ77" s="44"/>
      <c r="JHA77" s="44"/>
      <c r="JHB77" s="44"/>
      <c r="JHC77" s="44"/>
      <c r="JHD77" s="44"/>
      <c r="JHE77" s="44"/>
      <c r="JHF77" s="44"/>
      <c r="JHG77" s="44"/>
      <c r="JHH77" s="44"/>
      <c r="JHI77" s="44"/>
      <c r="JHJ77" s="44"/>
      <c r="JHK77" s="44"/>
      <c r="JHL77" s="44"/>
      <c r="JHM77" s="44"/>
      <c r="JHN77" s="44"/>
      <c r="JHO77" s="44"/>
      <c r="JHP77" s="44"/>
      <c r="JHQ77" s="44"/>
      <c r="JHR77" s="44"/>
      <c r="JHS77" s="44"/>
      <c r="JHT77" s="44"/>
      <c r="JHU77" s="44"/>
      <c r="JHV77" s="44"/>
      <c r="JHW77" s="44"/>
      <c r="JHX77" s="44"/>
      <c r="JHY77" s="44"/>
      <c r="JHZ77" s="44"/>
      <c r="JIA77" s="44"/>
      <c r="JIB77" s="44"/>
      <c r="JIC77" s="44"/>
      <c r="JID77" s="44"/>
      <c r="JIE77" s="44"/>
      <c r="JIF77" s="44"/>
      <c r="JIG77" s="44"/>
      <c r="JIH77" s="44"/>
      <c r="JII77" s="44"/>
      <c r="JIJ77" s="44"/>
      <c r="JIK77" s="44"/>
      <c r="JIL77" s="44"/>
      <c r="JIM77" s="44"/>
      <c r="JIN77" s="44"/>
      <c r="JIO77" s="44"/>
      <c r="JIP77" s="44"/>
      <c r="JIQ77" s="44"/>
      <c r="JIR77" s="44"/>
      <c r="JIS77" s="44"/>
      <c r="JIT77" s="44"/>
      <c r="JIU77" s="44"/>
      <c r="JIV77" s="44"/>
      <c r="JIW77" s="44"/>
      <c r="JIX77" s="44"/>
      <c r="JIY77" s="44"/>
      <c r="JIZ77" s="44"/>
      <c r="JJA77" s="44"/>
      <c r="JJB77" s="44"/>
      <c r="JJC77" s="44"/>
      <c r="JJD77" s="44"/>
      <c r="JJE77" s="44"/>
      <c r="JJF77" s="44"/>
      <c r="JJG77" s="44"/>
      <c r="JJH77" s="44"/>
      <c r="JJI77" s="44"/>
      <c r="JJJ77" s="44"/>
      <c r="JJK77" s="44"/>
      <c r="JJL77" s="44"/>
      <c r="JJM77" s="44"/>
      <c r="JJN77" s="44"/>
      <c r="JJO77" s="44"/>
      <c r="JJP77" s="44"/>
      <c r="JJQ77" s="44"/>
      <c r="JJR77" s="44"/>
      <c r="JJS77" s="44"/>
      <c r="JJT77" s="44"/>
      <c r="JJU77" s="44"/>
      <c r="JJV77" s="44"/>
      <c r="JJW77" s="44"/>
      <c r="JJX77" s="44"/>
      <c r="JJY77" s="44"/>
      <c r="JJZ77" s="44"/>
      <c r="JKA77" s="44"/>
      <c r="JKB77" s="44"/>
      <c r="JKC77" s="44"/>
      <c r="JKD77" s="44"/>
      <c r="JKE77" s="44"/>
      <c r="JKF77" s="44"/>
      <c r="JKG77" s="44"/>
      <c r="JKH77" s="44"/>
      <c r="JKI77" s="44"/>
      <c r="JKJ77" s="44"/>
      <c r="JKK77" s="44"/>
      <c r="JKL77" s="44"/>
      <c r="JKM77" s="44"/>
      <c r="JKN77" s="44"/>
      <c r="JKO77" s="44"/>
      <c r="JKP77" s="44"/>
      <c r="JKQ77" s="44"/>
      <c r="JKR77" s="44"/>
      <c r="JKS77" s="44"/>
      <c r="JKT77" s="44"/>
      <c r="JKU77" s="44"/>
      <c r="JKV77" s="44"/>
      <c r="JKW77" s="44"/>
      <c r="JKX77" s="44"/>
      <c r="JKY77" s="44"/>
      <c r="JKZ77" s="44"/>
      <c r="JLA77" s="44"/>
      <c r="JLB77" s="44"/>
      <c r="JLC77" s="44"/>
      <c r="JLD77" s="44"/>
      <c r="JLE77" s="44"/>
      <c r="JLF77" s="44"/>
      <c r="JLG77" s="44"/>
      <c r="JLH77" s="44"/>
      <c r="JLI77" s="44"/>
      <c r="JLJ77" s="44"/>
      <c r="JLK77" s="44"/>
      <c r="JLL77" s="44"/>
      <c r="JLM77" s="44"/>
      <c r="JLN77" s="44"/>
      <c r="JLO77" s="44"/>
      <c r="JLP77" s="44"/>
      <c r="JLQ77" s="44"/>
      <c r="JLR77" s="44"/>
      <c r="JLS77" s="44"/>
      <c r="JLT77" s="44"/>
      <c r="JLU77" s="44"/>
      <c r="JLV77" s="44"/>
      <c r="JLW77" s="44"/>
      <c r="JLX77" s="44"/>
      <c r="JLY77" s="44"/>
      <c r="JLZ77" s="44"/>
      <c r="JMA77" s="44"/>
      <c r="JMB77" s="44"/>
      <c r="JMC77" s="44"/>
      <c r="JMD77" s="44"/>
      <c r="JME77" s="44"/>
      <c r="JMF77" s="44"/>
      <c r="JMG77" s="44"/>
      <c r="JMH77" s="44"/>
      <c r="JMI77" s="44"/>
      <c r="JMJ77" s="44"/>
      <c r="JMK77" s="44"/>
      <c r="JML77" s="44"/>
      <c r="JMM77" s="44"/>
      <c r="JMN77" s="44"/>
      <c r="JMO77" s="44"/>
      <c r="JMP77" s="44"/>
      <c r="JMQ77" s="44"/>
      <c r="JMR77" s="44"/>
      <c r="JMS77" s="44"/>
      <c r="JMT77" s="44"/>
      <c r="JMU77" s="44"/>
      <c r="JMV77" s="44"/>
      <c r="JMW77" s="44"/>
      <c r="JMX77" s="44"/>
      <c r="JMY77" s="44"/>
      <c r="JMZ77" s="44"/>
      <c r="JNA77" s="44"/>
      <c r="JNB77" s="44"/>
      <c r="JNC77" s="44"/>
      <c r="JND77" s="44"/>
      <c r="JNE77" s="44"/>
      <c r="JNF77" s="44"/>
      <c r="JNG77" s="44"/>
      <c r="JNH77" s="44"/>
      <c r="JNI77" s="44"/>
      <c r="JNJ77" s="44"/>
      <c r="JNK77" s="44"/>
      <c r="JNL77" s="44"/>
      <c r="JNM77" s="44"/>
      <c r="JNN77" s="44"/>
      <c r="JNO77" s="44"/>
      <c r="JNP77" s="44"/>
      <c r="JNQ77" s="44"/>
      <c r="JNR77" s="44"/>
      <c r="JNS77" s="44"/>
      <c r="JNT77" s="44"/>
      <c r="JNU77" s="44"/>
      <c r="JNV77" s="44"/>
      <c r="JNW77" s="44"/>
      <c r="JNX77" s="44"/>
      <c r="JNY77" s="44"/>
      <c r="JNZ77" s="44"/>
      <c r="JOA77" s="44"/>
      <c r="JOB77" s="44"/>
      <c r="JOC77" s="44"/>
      <c r="JOD77" s="44"/>
      <c r="JOE77" s="44"/>
      <c r="JOF77" s="44"/>
      <c r="JOG77" s="44"/>
      <c r="JOH77" s="44"/>
      <c r="JOI77" s="44"/>
      <c r="JOJ77" s="44"/>
      <c r="JOK77" s="44"/>
      <c r="JOL77" s="44"/>
      <c r="JOM77" s="44"/>
      <c r="JON77" s="44"/>
      <c r="JOO77" s="44"/>
      <c r="JOP77" s="44"/>
      <c r="JOQ77" s="44"/>
      <c r="JOR77" s="44"/>
      <c r="JOS77" s="44"/>
      <c r="JOT77" s="44"/>
      <c r="JOU77" s="44"/>
      <c r="JOV77" s="44"/>
      <c r="JOW77" s="44"/>
      <c r="JOX77" s="44"/>
      <c r="JOY77" s="44"/>
      <c r="JOZ77" s="44"/>
      <c r="JPA77" s="44"/>
      <c r="JPB77" s="44"/>
      <c r="JPC77" s="44"/>
      <c r="JPD77" s="44"/>
      <c r="JPE77" s="44"/>
      <c r="JPF77" s="44"/>
      <c r="JPG77" s="44"/>
      <c r="JPH77" s="44"/>
      <c r="JPI77" s="44"/>
      <c r="JPJ77" s="44"/>
      <c r="JPK77" s="44"/>
      <c r="JPL77" s="44"/>
      <c r="JPM77" s="44"/>
      <c r="JPN77" s="44"/>
      <c r="JPO77" s="44"/>
      <c r="JPP77" s="44"/>
      <c r="JPQ77" s="44"/>
      <c r="JPR77" s="44"/>
      <c r="JPS77" s="44"/>
      <c r="JPT77" s="44"/>
      <c r="JPU77" s="44"/>
      <c r="JPV77" s="44"/>
      <c r="JPW77" s="44"/>
      <c r="JPX77" s="44"/>
      <c r="JPY77" s="44"/>
      <c r="JPZ77" s="44"/>
      <c r="JQA77" s="44"/>
      <c r="JQB77" s="44"/>
      <c r="JQC77" s="44"/>
      <c r="JQD77" s="44"/>
      <c r="JQE77" s="44"/>
      <c r="JQF77" s="44"/>
      <c r="JQG77" s="44"/>
      <c r="JQH77" s="44"/>
      <c r="JQI77" s="44"/>
      <c r="JQJ77" s="44"/>
      <c r="JQK77" s="44"/>
      <c r="JQL77" s="44"/>
      <c r="JQM77" s="44"/>
      <c r="JQN77" s="44"/>
      <c r="JQO77" s="44"/>
      <c r="JQP77" s="44"/>
      <c r="JQQ77" s="44"/>
      <c r="JQR77" s="44"/>
      <c r="JQS77" s="44"/>
      <c r="JQT77" s="44"/>
      <c r="JQU77" s="44"/>
      <c r="JQV77" s="44"/>
      <c r="JQW77" s="44"/>
      <c r="JQX77" s="44"/>
      <c r="JQY77" s="44"/>
      <c r="JQZ77" s="44"/>
      <c r="JRA77" s="44"/>
      <c r="JRB77" s="44"/>
      <c r="JRC77" s="44"/>
      <c r="JRD77" s="44"/>
      <c r="JRE77" s="44"/>
      <c r="JRF77" s="44"/>
      <c r="JRG77" s="44"/>
      <c r="JRH77" s="44"/>
      <c r="JRI77" s="44"/>
      <c r="JRJ77" s="44"/>
      <c r="JRK77" s="44"/>
      <c r="JRL77" s="44"/>
      <c r="JRM77" s="44"/>
      <c r="JRN77" s="44"/>
      <c r="JRO77" s="44"/>
      <c r="JRP77" s="44"/>
      <c r="JRQ77" s="44"/>
      <c r="JRR77" s="44"/>
      <c r="JRS77" s="44"/>
      <c r="JRT77" s="44"/>
      <c r="JRU77" s="44"/>
      <c r="JRV77" s="44"/>
      <c r="JRW77" s="44"/>
      <c r="JRX77" s="44"/>
      <c r="JRY77" s="44"/>
      <c r="JRZ77" s="44"/>
      <c r="JSA77" s="44"/>
      <c r="JSB77" s="44"/>
      <c r="JSC77" s="44"/>
      <c r="JSD77" s="44"/>
      <c r="JSE77" s="44"/>
      <c r="JSF77" s="44"/>
      <c r="JSG77" s="44"/>
      <c r="JSH77" s="44"/>
      <c r="JSI77" s="44"/>
      <c r="JSJ77" s="44"/>
      <c r="JSK77" s="44"/>
      <c r="JSL77" s="44"/>
      <c r="JSM77" s="44"/>
      <c r="JSN77" s="44"/>
      <c r="JSO77" s="44"/>
      <c r="JSP77" s="44"/>
      <c r="JSQ77" s="44"/>
      <c r="JSR77" s="44"/>
      <c r="JSS77" s="44"/>
      <c r="JST77" s="44"/>
      <c r="JSU77" s="44"/>
      <c r="JSV77" s="44"/>
      <c r="JSW77" s="44"/>
      <c r="JSX77" s="44"/>
      <c r="JSY77" s="44"/>
      <c r="JSZ77" s="44"/>
      <c r="JTA77" s="44"/>
      <c r="JTB77" s="44"/>
      <c r="JTC77" s="44"/>
      <c r="JTD77" s="44"/>
      <c r="JTE77" s="44"/>
      <c r="JTF77" s="44"/>
      <c r="JTG77" s="44"/>
      <c r="JTH77" s="44"/>
      <c r="JTI77" s="44"/>
      <c r="JTJ77" s="44"/>
      <c r="JTK77" s="44"/>
      <c r="JTL77" s="44"/>
      <c r="JTM77" s="44"/>
      <c r="JTN77" s="44"/>
      <c r="JTO77" s="44"/>
      <c r="JTP77" s="44"/>
      <c r="JTQ77" s="44"/>
      <c r="JTR77" s="44"/>
      <c r="JTS77" s="44"/>
      <c r="JTT77" s="44"/>
      <c r="JTU77" s="44"/>
      <c r="JTV77" s="44"/>
      <c r="JTW77" s="44"/>
      <c r="JTX77" s="44"/>
      <c r="JTY77" s="44"/>
      <c r="JTZ77" s="44"/>
      <c r="JUA77" s="44"/>
      <c r="JUB77" s="44"/>
      <c r="JUC77" s="44"/>
      <c r="JUD77" s="44"/>
      <c r="JUE77" s="44"/>
      <c r="JUF77" s="44"/>
      <c r="JUG77" s="44"/>
      <c r="JUH77" s="44"/>
      <c r="JUI77" s="44"/>
      <c r="JUJ77" s="44"/>
      <c r="JUK77" s="44"/>
      <c r="JUL77" s="44"/>
      <c r="JUM77" s="44"/>
      <c r="JUN77" s="44"/>
      <c r="JUO77" s="44"/>
      <c r="JUP77" s="44"/>
      <c r="JUQ77" s="44"/>
      <c r="JUR77" s="44"/>
      <c r="JUS77" s="44"/>
      <c r="JUT77" s="44"/>
      <c r="JUU77" s="44"/>
      <c r="JUV77" s="44"/>
      <c r="JUW77" s="44"/>
      <c r="JUX77" s="44"/>
      <c r="JUY77" s="44"/>
      <c r="JUZ77" s="44"/>
      <c r="JVA77" s="44"/>
      <c r="JVB77" s="44"/>
      <c r="JVC77" s="44"/>
      <c r="JVD77" s="44"/>
      <c r="JVE77" s="44"/>
      <c r="JVF77" s="44"/>
      <c r="JVG77" s="44"/>
      <c r="JVH77" s="44"/>
      <c r="JVI77" s="44"/>
      <c r="JVJ77" s="44"/>
      <c r="JVK77" s="44"/>
      <c r="JVL77" s="44"/>
      <c r="JVM77" s="44"/>
      <c r="JVN77" s="44"/>
      <c r="JVO77" s="44"/>
      <c r="JVP77" s="44"/>
      <c r="JVQ77" s="44"/>
      <c r="JVR77" s="44"/>
      <c r="JVS77" s="44"/>
      <c r="JVT77" s="44"/>
      <c r="JVU77" s="44"/>
      <c r="JVV77" s="44"/>
      <c r="JVW77" s="44"/>
      <c r="JVX77" s="44"/>
      <c r="JVY77" s="44"/>
      <c r="JVZ77" s="44"/>
      <c r="JWA77" s="44"/>
      <c r="JWB77" s="44"/>
      <c r="JWC77" s="44"/>
      <c r="JWD77" s="44"/>
      <c r="JWE77" s="44"/>
      <c r="JWF77" s="44"/>
      <c r="JWG77" s="44"/>
      <c r="JWH77" s="44"/>
      <c r="JWI77" s="44"/>
      <c r="JWJ77" s="44"/>
      <c r="JWK77" s="44"/>
      <c r="JWL77" s="44"/>
      <c r="JWM77" s="44"/>
      <c r="JWN77" s="44"/>
      <c r="JWO77" s="44"/>
      <c r="JWP77" s="44"/>
      <c r="JWQ77" s="44"/>
      <c r="JWR77" s="44"/>
      <c r="JWS77" s="44"/>
      <c r="JWT77" s="44"/>
      <c r="JWU77" s="44"/>
      <c r="JWV77" s="44"/>
      <c r="JWW77" s="44"/>
      <c r="JWX77" s="44"/>
      <c r="JWY77" s="44"/>
      <c r="JWZ77" s="44"/>
      <c r="JXA77" s="44"/>
      <c r="JXB77" s="44"/>
      <c r="JXC77" s="44"/>
      <c r="JXD77" s="44"/>
      <c r="JXE77" s="44"/>
      <c r="JXF77" s="44"/>
      <c r="JXG77" s="44"/>
      <c r="JXH77" s="44"/>
      <c r="JXI77" s="44"/>
      <c r="JXJ77" s="44"/>
      <c r="JXK77" s="44"/>
      <c r="JXL77" s="44"/>
      <c r="JXM77" s="44"/>
      <c r="JXN77" s="44"/>
      <c r="JXO77" s="44"/>
      <c r="JXP77" s="44"/>
      <c r="JXQ77" s="44"/>
      <c r="JXR77" s="44"/>
      <c r="JXS77" s="44"/>
      <c r="JXT77" s="44"/>
      <c r="JXU77" s="44"/>
      <c r="JXV77" s="44"/>
      <c r="JXW77" s="44"/>
      <c r="JXX77" s="44"/>
      <c r="JXY77" s="44"/>
      <c r="JXZ77" s="44"/>
      <c r="JYA77" s="44"/>
      <c r="JYB77" s="44"/>
      <c r="JYC77" s="44"/>
      <c r="JYD77" s="44"/>
      <c r="JYE77" s="44"/>
      <c r="JYF77" s="44"/>
      <c r="JYG77" s="44"/>
      <c r="JYH77" s="44"/>
      <c r="JYI77" s="44"/>
      <c r="JYJ77" s="44"/>
      <c r="JYK77" s="44"/>
      <c r="JYL77" s="44"/>
      <c r="JYM77" s="44"/>
      <c r="JYN77" s="44"/>
      <c r="JYO77" s="44"/>
      <c r="JYP77" s="44"/>
      <c r="JYQ77" s="44"/>
      <c r="JYR77" s="44"/>
      <c r="JYS77" s="44"/>
      <c r="JYT77" s="44"/>
      <c r="JYU77" s="44"/>
      <c r="JYV77" s="44"/>
      <c r="JYW77" s="44"/>
      <c r="JYX77" s="44"/>
      <c r="JYY77" s="44"/>
      <c r="JYZ77" s="44"/>
      <c r="JZA77" s="44"/>
      <c r="JZB77" s="44"/>
      <c r="JZC77" s="44"/>
      <c r="JZD77" s="44"/>
      <c r="JZE77" s="44"/>
      <c r="JZF77" s="44"/>
      <c r="JZG77" s="44"/>
      <c r="JZH77" s="44"/>
      <c r="JZI77" s="44"/>
      <c r="JZJ77" s="44"/>
      <c r="JZK77" s="44"/>
      <c r="JZL77" s="44"/>
      <c r="JZM77" s="44"/>
      <c r="JZN77" s="44"/>
      <c r="JZO77" s="44"/>
      <c r="JZP77" s="44"/>
      <c r="JZQ77" s="44"/>
      <c r="JZR77" s="44"/>
      <c r="JZS77" s="44"/>
      <c r="JZT77" s="44"/>
      <c r="JZU77" s="44"/>
      <c r="JZV77" s="44"/>
      <c r="JZW77" s="44"/>
      <c r="JZX77" s="44"/>
      <c r="JZY77" s="44"/>
      <c r="JZZ77" s="44"/>
      <c r="KAA77" s="44"/>
      <c r="KAB77" s="44"/>
      <c r="KAC77" s="44"/>
      <c r="KAD77" s="44"/>
      <c r="KAE77" s="44"/>
      <c r="KAF77" s="44"/>
      <c r="KAG77" s="44"/>
      <c r="KAH77" s="44"/>
      <c r="KAI77" s="44"/>
      <c r="KAJ77" s="44"/>
      <c r="KAK77" s="44"/>
      <c r="KAL77" s="44"/>
      <c r="KAM77" s="44"/>
      <c r="KAN77" s="44"/>
      <c r="KAO77" s="44"/>
      <c r="KAP77" s="44"/>
      <c r="KAQ77" s="44"/>
      <c r="KAR77" s="44"/>
      <c r="KAS77" s="44"/>
      <c r="KAT77" s="44"/>
      <c r="KAU77" s="44"/>
      <c r="KAV77" s="44"/>
      <c r="KAW77" s="44"/>
      <c r="KAX77" s="44"/>
      <c r="KAY77" s="44"/>
      <c r="KAZ77" s="44"/>
      <c r="KBA77" s="44"/>
      <c r="KBB77" s="44"/>
      <c r="KBC77" s="44"/>
      <c r="KBD77" s="44"/>
      <c r="KBE77" s="44"/>
      <c r="KBF77" s="44"/>
      <c r="KBG77" s="44"/>
      <c r="KBH77" s="44"/>
      <c r="KBI77" s="44"/>
      <c r="KBJ77" s="44"/>
      <c r="KBK77" s="44"/>
      <c r="KBL77" s="44"/>
      <c r="KBM77" s="44"/>
      <c r="KBN77" s="44"/>
      <c r="KBO77" s="44"/>
      <c r="KBP77" s="44"/>
      <c r="KBQ77" s="44"/>
      <c r="KBR77" s="44"/>
      <c r="KBS77" s="44"/>
      <c r="KBT77" s="44"/>
      <c r="KBU77" s="44"/>
      <c r="KBV77" s="44"/>
      <c r="KBW77" s="44"/>
      <c r="KBX77" s="44"/>
      <c r="KBY77" s="44"/>
      <c r="KBZ77" s="44"/>
      <c r="KCA77" s="44"/>
      <c r="KCB77" s="44"/>
      <c r="KCC77" s="44"/>
      <c r="KCD77" s="44"/>
      <c r="KCE77" s="44"/>
      <c r="KCF77" s="44"/>
      <c r="KCG77" s="44"/>
      <c r="KCH77" s="44"/>
      <c r="KCI77" s="44"/>
      <c r="KCJ77" s="44"/>
      <c r="KCK77" s="44"/>
      <c r="KCL77" s="44"/>
      <c r="KCM77" s="44"/>
      <c r="KCN77" s="44"/>
      <c r="KCO77" s="44"/>
      <c r="KCP77" s="44"/>
      <c r="KCQ77" s="44"/>
      <c r="KCR77" s="44"/>
      <c r="KCS77" s="44"/>
      <c r="KCT77" s="44"/>
      <c r="KCU77" s="44"/>
      <c r="KCV77" s="44"/>
      <c r="KCW77" s="44"/>
      <c r="KCX77" s="44"/>
      <c r="KCY77" s="44"/>
      <c r="KCZ77" s="44"/>
      <c r="KDA77" s="44"/>
      <c r="KDB77" s="44"/>
      <c r="KDC77" s="44"/>
      <c r="KDD77" s="44"/>
      <c r="KDE77" s="44"/>
      <c r="KDF77" s="44"/>
      <c r="KDG77" s="44"/>
      <c r="KDH77" s="44"/>
      <c r="KDI77" s="44"/>
      <c r="KDJ77" s="44"/>
      <c r="KDK77" s="44"/>
      <c r="KDL77" s="44"/>
      <c r="KDM77" s="44"/>
      <c r="KDN77" s="44"/>
      <c r="KDO77" s="44"/>
      <c r="KDP77" s="44"/>
      <c r="KDQ77" s="44"/>
      <c r="KDR77" s="44"/>
      <c r="KDS77" s="44"/>
      <c r="KDT77" s="44"/>
      <c r="KDU77" s="44"/>
      <c r="KDV77" s="44"/>
      <c r="KDW77" s="44"/>
      <c r="KDX77" s="44"/>
      <c r="KDY77" s="44"/>
      <c r="KDZ77" s="44"/>
      <c r="KEA77" s="44"/>
      <c r="KEB77" s="44"/>
      <c r="KEC77" s="44"/>
      <c r="KED77" s="44"/>
      <c r="KEE77" s="44"/>
      <c r="KEF77" s="44"/>
      <c r="KEG77" s="44"/>
      <c r="KEH77" s="44"/>
      <c r="KEI77" s="44"/>
      <c r="KEJ77" s="44"/>
      <c r="KEK77" s="44"/>
      <c r="KEL77" s="44"/>
      <c r="KEM77" s="44"/>
      <c r="KEN77" s="44"/>
      <c r="KEO77" s="44"/>
      <c r="KEP77" s="44"/>
      <c r="KEQ77" s="44"/>
      <c r="KER77" s="44"/>
      <c r="KES77" s="44"/>
      <c r="KET77" s="44"/>
      <c r="KEU77" s="44"/>
      <c r="KEV77" s="44"/>
      <c r="KEW77" s="44"/>
      <c r="KEX77" s="44"/>
      <c r="KEY77" s="44"/>
      <c r="KEZ77" s="44"/>
      <c r="KFA77" s="44"/>
      <c r="KFB77" s="44"/>
      <c r="KFC77" s="44"/>
      <c r="KFD77" s="44"/>
      <c r="KFE77" s="44"/>
      <c r="KFF77" s="44"/>
      <c r="KFG77" s="44"/>
      <c r="KFH77" s="44"/>
      <c r="KFI77" s="44"/>
      <c r="KFJ77" s="44"/>
      <c r="KFK77" s="44"/>
      <c r="KFL77" s="44"/>
      <c r="KFM77" s="44"/>
      <c r="KFN77" s="44"/>
      <c r="KFO77" s="44"/>
      <c r="KFP77" s="44"/>
      <c r="KFQ77" s="44"/>
      <c r="KFR77" s="44"/>
      <c r="KFS77" s="44"/>
      <c r="KFT77" s="44"/>
      <c r="KFU77" s="44"/>
      <c r="KFV77" s="44"/>
      <c r="KFW77" s="44"/>
      <c r="KFX77" s="44"/>
      <c r="KFY77" s="44"/>
      <c r="KFZ77" s="44"/>
      <c r="KGA77" s="44"/>
      <c r="KGB77" s="44"/>
      <c r="KGC77" s="44"/>
      <c r="KGD77" s="44"/>
      <c r="KGE77" s="44"/>
      <c r="KGF77" s="44"/>
      <c r="KGG77" s="44"/>
      <c r="KGH77" s="44"/>
      <c r="KGI77" s="44"/>
      <c r="KGJ77" s="44"/>
      <c r="KGK77" s="44"/>
      <c r="KGL77" s="44"/>
      <c r="KGM77" s="44"/>
      <c r="KGN77" s="44"/>
      <c r="KGO77" s="44"/>
      <c r="KGP77" s="44"/>
      <c r="KGQ77" s="44"/>
      <c r="KGR77" s="44"/>
      <c r="KGS77" s="44"/>
      <c r="KGT77" s="44"/>
      <c r="KGU77" s="44"/>
      <c r="KGV77" s="44"/>
      <c r="KGW77" s="44"/>
      <c r="KGX77" s="44"/>
      <c r="KGY77" s="44"/>
      <c r="KGZ77" s="44"/>
      <c r="KHA77" s="44"/>
      <c r="KHB77" s="44"/>
      <c r="KHC77" s="44"/>
      <c r="KHD77" s="44"/>
      <c r="KHE77" s="44"/>
      <c r="KHF77" s="44"/>
      <c r="KHG77" s="44"/>
      <c r="KHH77" s="44"/>
      <c r="KHI77" s="44"/>
      <c r="KHJ77" s="44"/>
      <c r="KHK77" s="44"/>
      <c r="KHL77" s="44"/>
      <c r="KHM77" s="44"/>
      <c r="KHN77" s="44"/>
      <c r="KHO77" s="44"/>
      <c r="KHP77" s="44"/>
      <c r="KHQ77" s="44"/>
      <c r="KHR77" s="44"/>
      <c r="KHS77" s="44"/>
      <c r="KHT77" s="44"/>
      <c r="KHU77" s="44"/>
      <c r="KHV77" s="44"/>
      <c r="KHW77" s="44"/>
      <c r="KHX77" s="44"/>
      <c r="KHY77" s="44"/>
      <c r="KHZ77" s="44"/>
      <c r="KIA77" s="44"/>
      <c r="KIB77" s="44"/>
      <c r="KIC77" s="44"/>
      <c r="KID77" s="44"/>
      <c r="KIE77" s="44"/>
      <c r="KIF77" s="44"/>
      <c r="KIG77" s="44"/>
      <c r="KIH77" s="44"/>
      <c r="KII77" s="44"/>
      <c r="KIJ77" s="44"/>
      <c r="KIK77" s="44"/>
      <c r="KIL77" s="44"/>
      <c r="KIM77" s="44"/>
      <c r="KIN77" s="44"/>
      <c r="KIO77" s="44"/>
      <c r="KIP77" s="44"/>
      <c r="KIQ77" s="44"/>
      <c r="KIR77" s="44"/>
      <c r="KIS77" s="44"/>
      <c r="KIT77" s="44"/>
      <c r="KIU77" s="44"/>
      <c r="KIV77" s="44"/>
      <c r="KIW77" s="44"/>
      <c r="KIX77" s="44"/>
      <c r="KIY77" s="44"/>
      <c r="KIZ77" s="44"/>
      <c r="KJA77" s="44"/>
      <c r="KJB77" s="44"/>
      <c r="KJC77" s="44"/>
      <c r="KJD77" s="44"/>
      <c r="KJE77" s="44"/>
      <c r="KJF77" s="44"/>
      <c r="KJG77" s="44"/>
      <c r="KJH77" s="44"/>
      <c r="KJI77" s="44"/>
      <c r="KJJ77" s="44"/>
      <c r="KJK77" s="44"/>
      <c r="KJL77" s="44"/>
      <c r="KJM77" s="44"/>
      <c r="KJN77" s="44"/>
      <c r="KJO77" s="44"/>
      <c r="KJP77" s="44"/>
      <c r="KJQ77" s="44"/>
      <c r="KJR77" s="44"/>
      <c r="KJS77" s="44"/>
      <c r="KJT77" s="44"/>
      <c r="KJU77" s="44"/>
      <c r="KJV77" s="44"/>
      <c r="KJW77" s="44"/>
      <c r="KJX77" s="44"/>
      <c r="KJY77" s="44"/>
      <c r="KJZ77" s="44"/>
      <c r="KKA77" s="44"/>
      <c r="KKB77" s="44"/>
      <c r="KKC77" s="44"/>
      <c r="KKD77" s="44"/>
      <c r="KKE77" s="44"/>
      <c r="KKF77" s="44"/>
      <c r="KKG77" s="44"/>
      <c r="KKH77" s="44"/>
      <c r="KKI77" s="44"/>
      <c r="KKJ77" s="44"/>
      <c r="KKK77" s="44"/>
      <c r="KKL77" s="44"/>
      <c r="KKM77" s="44"/>
      <c r="KKN77" s="44"/>
      <c r="KKO77" s="44"/>
      <c r="KKP77" s="44"/>
      <c r="KKQ77" s="44"/>
      <c r="KKR77" s="44"/>
      <c r="KKS77" s="44"/>
      <c r="KKT77" s="44"/>
      <c r="KKU77" s="44"/>
      <c r="KKV77" s="44"/>
      <c r="KKW77" s="44"/>
      <c r="KKX77" s="44"/>
      <c r="KKY77" s="44"/>
      <c r="KKZ77" s="44"/>
      <c r="KLA77" s="44"/>
      <c r="KLB77" s="44"/>
      <c r="KLC77" s="44"/>
      <c r="KLD77" s="44"/>
      <c r="KLE77" s="44"/>
      <c r="KLF77" s="44"/>
      <c r="KLG77" s="44"/>
      <c r="KLH77" s="44"/>
      <c r="KLI77" s="44"/>
      <c r="KLJ77" s="44"/>
      <c r="KLK77" s="44"/>
      <c r="KLL77" s="44"/>
      <c r="KLM77" s="44"/>
      <c r="KLN77" s="44"/>
      <c r="KLO77" s="44"/>
      <c r="KLP77" s="44"/>
      <c r="KLQ77" s="44"/>
      <c r="KLR77" s="44"/>
      <c r="KLS77" s="44"/>
      <c r="KLT77" s="44"/>
      <c r="KLU77" s="44"/>
      <c r="KLV77" s="44"/>
      <c r="KLW77" s="44"/>
      <c r="KLX77" s="44"/>
      <c r="KLY77" s="44"/>
      <c r="KLZ77" s="44"/>
      <c r="KMA77" s="44"/>
      <c r="KMB77" s="44"/>
      <c r="KMC77" s="44"/>
      <c r="KMD77" s="44"/>
      <c r="KME77" s="44"/>
      <c r="KMF77" s="44"/>
      <c r="KMG77" s="44"/>
      <c r="KMH77" s="44"/>
      <c r="KMI77" s="44"/>
      <c r="KMJ77" s="44"/>
      <c r="KMK77" s="44"/>
      <c r="KML77" s="44"/>
      <c r="KMM77" s="44"/>
      <c r="KMN77" s="44"/>
      <c r="KMO77" s="44"/>
      <c r="KMP77" s="44"/>
      <c r="KMQ77" s="44"/>
      <c r="KMR77" s="44"/>
      <c r="KMS77" s="44"/>
      <c r="KMT77" s="44"/>
      <c r="KMU77" s="44"/>
      <c r="KMV77" s="44"/>
      <c r="KMW77" s="44"/>
      <c r="KMX77" s="44"/>
      <c r="KMY77" s="44"/>
      <c r="KMZ77" s="44"/>
      <c r="KNA77" s="44"/>
      <c r="KNB77" s="44"/>
      <c r="KNC77" s="44"/>
      <c r="KND77" s="44"/>
      <c r="KNE77" s="44"/>
      <c r="KNF77" s="44"/>
      <c r="KNG77" s="44"/>
      <c r="KNH77" s="44"/>
      <c r="KNI77" s="44"/>
      <c r="KNJ77" s="44"/>
      <c r="KNK77" s="44"/>
      <c r="KNL77" s="44"/>
      <c r="KNM77" s="44"/>
      <c r="KNN77" s="44"/>
      <c r="KNO77" s="44"/>
      <c r="KNP77" s="44"/>
      <c r="KNQ77" s="44"/>
      <c r="KNR77" s="44"/>
      <c r="KNS77" s="44"/>
      <c r="KNT77" s="44"/>
      <c r="KNU77" s="44"/>
      <c r="KNV77" s="44"/>
      <c r="KNW77" s="44"/>
      <c r="KNX77" s="44"/>
      <c r="KNY77" s="44"/>
      <c r="KNZ77" s="44"/>
      <c r="KOA77" s="44"/>
      <c r="KOB77" s="44"/>
      <c r="KOC77" s="44"/>
      <c r="KOD77" s="44"/>
      <c r="KOE77" s="44"/>
      <c r="KOF77" s="44"/>
      <c r="KOG77" s="44"/>
      <c r="KOH77" s="44"/>
      <c r="KOI77" s="44"/>
      <c r="KOJ77" s="44"/>
      <c r="KOK77" s="44"/>
      <c r="KOL77" s="44"/>
      <c r="KOM77" s="44"/>
      <c r="KON77" s="44"/>
      <c r="KOO77" s="44"/>
      <c r="KOP77" s="44"/>
      <c r="KOQ77" s="44"/>
      <c r="KOR77" s="44"/>
      <c r="KOS77" s="44"/>
      <c r="KOT77" s="44"/>
      <c r="KOU77" s="44"/>
      <c r="KOV77" s="44"/>
      <c r="KOW77" s="44"/>
      <c r="KOX77" s="44"/>
      <c r="KOY77" s="44"/>
      <c r="KOZ77" s="44"/>
      <c r="KPA77" s="44"/>
      <c r="KPB77" s="44"/>
      <c r="KPC77" s="44"/>
      <c r="KPD77" s="44"/>
      <c r="KPE77" s="44"/>
      <c r="KPF77" s="44"/>
      <c r="KPG77" s="44"/>
      <c r="KPH77" s="44"/>
      <c r="KPI77" s="44"/>
      <c r="KPJ77" s="44"/>
      <c r="KPK77" s="44"/>
      <c r="KPL77" s="44"/>
      <c r="KPM77" s="44"/>
      <c r="KPN77" s="44"/>
      <c r="KPO77" s="44"/>
      <c r="KPP77" s="44"/>
      <c r="KPQ77" s="44"/>
      <c r="KPR77" s="44"/>
      <c r="KPS77" s="44"/>
      <c r="KPT77" s="44"/>
      <c r="KPU77" s="44"/>
      <c r="KPV77" s="44"/>
      <c r="KPW77" s="44"/>
      <c r="KPX77" s="44"/>
      <c r="KPY77" s="44"/>
      <c r="KPZ77" s="44"/>
      <c r="KQA77" s="44"/>
      <c r="KQB77" s="44"/>
      <c r="KQC77" s="44"/>
      <c r="KQD77" s="44"/>
      <c r="KQE77" s="44"/>
      <c r="KQF77" s="44"/>
      <c r="KQG77" s="44"/>
      <c r="KQH77" s="44"/>
      <c r="KQI77" s="44"/>
      <c r="KQJ77" s="44"/>
      <c r="KQK77" s="44"/>
      <c r="KQL77" s="44"/>
      <c r="KQM77" s="44"/>
      <c r="KQN77" s="44"/>
      <c r="KQO77" s="44"/>
      <c r="KQP77" s="44"/>
      <c r="KQQ77" s="44"/>
      <c r="KQR77" s="44"/>
      <c r="KQS77" s="44"/>
      <c r="KQT77" s="44"/>
      <c r="KQU77" s="44"/>
      <c r="KQV77" s="44"/>
      <c r="KQW77" s="44"/>
      <c r="KQX77" s="44"/>
      <c r="KQY77" s="44"/>
      <c r="KQZ77" s="44"/>
      <c r="KRA77" s="44"/>
      <c r="KRB77" s="44"/>
      <c r="KRC77" s="44"/>
      <c r="KRD77" s="44"/>
      <c r="KRE77" s="44"/>
      <c r="KRF77" s="44"/>
      <c r="KRG77" s="44"/>
      <c r="KRH77" s="44"/>
      <c r="KRI77" s="44"/>
      <c r="KRJ77" s="44"/>
      <c r="KRK77" s="44"/>
      <c r="KRL77" s="44"/>
      <c r="KRM77" s="44"/>
      <c r="KRN77" s="44"/>
      <c r="KRO77" s="44"/>
      <c r="KRP77" s="44"/>
      <c r="KRQ77" s="44"/>
      <c r="KRR77" s="44"/>
      <c r="KRS77" s="44"/>
      <c r="KRT77" s="44"/>
      <c r="KRU77" s="44"/>
      <c r="KRV77" s="44"/>
      <c r="KRW77" s="44"/>
      <c r="KRX77" s="44"/>
      <c r="KRY77" s="44"/>
      <c r="KRZ77" s="44"/>
      <c r="KSA77" s="44"/>
      <c r="KSB77" s="44"/>
      <c r="KSC77" s="44"/>
      <c r="KSD77" s="44"/>
      <c r="KSE77" s="44"/>
      <c r="KSF77" s="44"/>
      <c r="KSG77" s="44"/>
      <c r="KSH77" s="44"/>
      <c r="KSI77" s="44"/>
      <c r="KSJ77" s="44"/>
      <c r="KSK77" s="44"/>
      <c r="KSL77" s="44"/>
      <c r="KSM77" s="44"/>
      <c r="KSN77" s="44"/>
      <c r="KSO77" s="44"/>
      <c r="KSP77" s="44"/>
      <c r="KSQ77" s="44"/>
      <c r="KSR77" s="44"/>
      <c r="KSS77" s="44"/>
      <c r="KST77" s="44"/>
      <c r="KSU77" s="44"/>
      <c r="KSV77" s="44"/>
      <c r="KSW77" s="44"/>
      <c r="KSX77" s="44"/>
      <c r="KSY77" s="44"/>
      <c r="KSZ77" s="44"/>
      <c r="KTA77" s="44"/>
      <c r="KTB77" s="44"/>
      <c r="KTC77" s="44"/>
      <c r="KTD77" s="44"/>
      <c r="KTE77" s="44"/>
      <c r="KTF77" s="44"/>
      <c r="KTG77" s="44"/>
      <c r="KTH77" s="44"/>
      <c r="KTI77" s="44"/>
      <c r="KTJ77" s="44"/>
      <c r="KTK77" s="44"/>
      <c r="KTL77" s="44"/>
      <c r="KTM77" s="44"/>
      <c r="KTN77" s="44"/>
      <c r="KTO77" s="44"/>
      <c r="KTP77" s="44"/>
      <c r="KTQ77" s="44"/>
      <c r="KTR77" s="44"/>
      <c r="KTS77" s="44"/>
      <c r="KTT77" s="44"/>
      <c r="KTU77" s="44"/>
      <c r="KTV77" s="44"/>
      <c r="KTW77" s="44"/>
      <c r="KTX77" s="44"/>
      <c r="KTY77" s="44"/>
      <c r="KTZ77" s="44"/>
      <c r="KUA77" s="44"/>
      <c r="KUB77" s="44"/>
      <c r="KUC77" s="44"/>
      <c r="KUD77" s="44"/>
      <c r="KUE77" s="44"/>
      <c r="KUF77" s="44"/>
      <c r="KUG77" s="44"/>
      <c r="KUH77" s="44"/>
      <c r="KUI77" s="44"/>
      <c r="KUJ77" s="44"/>
      <c r="KUK77" s="44"/>
      <c r="KUL77" s="44"/>
      <c r="KUM77" s="44"/>
      <c r="KUN77" s="44"/>
      <c r="KUO77" s="44"/>
      <c r="KUP77" s="44"/>
      <c r="KUQ77" s="44"/>
      <c r="KUR77" s="44"/>
      <c r="KUS77" s="44"/>
      <c r="KUT77" s="44"/>
      <c r="KUU77" s="44"/>
      <c r="KUV77" s="44"/>
      <c r="KUW77" s="44"/>
      <c r="KUX77" s="44"/>
      <c r="KUY77" s="44"/>
      <c r="KUZ77" s="44"/>
      <c r="KVA77" s="44"/>
      <c r="KVB77" s="44"/>
      <c r="KVC77" s="44"/>
      <c r="KVD77" s="44"/>
      <c r="KVE77" s="44"/>
      <c r="KVF77" s="44"/>
      <c r="KVG77" s="44"/>
      <c r="KVH77" s="44"/>
      <c r="KVI77" s="44"/>
      <c r="KVJ77" s="44"/>
      <c r="KVK77" s="44"/>
      <c r="KVL77" s="44"/>
      <c r="KVM77" s="44"/>
      <c r="KVN77" s="44"/>
      <c r="KVO77" s="44"/>
      <c r="KVP77" s="44"/>
      <c r="KVQ77" s="44"/>
      <c r="KVR77" s="44"/>
      <c r="KVS77" s="44"/>
      <c r="KVT77" s="44"/>
      <c r="KVU77" s="44"/>
      <c r="KVV77" s="44"/>
      <c r="KVW77" s="44"/>
      <c r="KVX77" s="44"/>
      <c r="KVY77" s="44"/>
      <c r="KVZ77" s="44"/>
      <c r="KWA77" s="44"/>
      <c r="KWB77" s="44"/>
      <c r="KWC77" s="44"/>
      <c r="KWD77" s="44"/>
      <c r="KWE77" s="44"/>
      <c r="KWF77" s="44"/>
      <c r="KWG77" s="44"/>
      <c r="KWH77" s="44"/>
      <c r="KWI77" s="44"/>
      <c r="KWJ77" s="44"/>
      <c r="KWK77" s="44"/>
      <c r="KWL77" s="44"/>
      <c r="KWM77" s="44"/>
      <c r="KWN77" s="44"/>
      <c r="KWO77" s="44"/>
      <c r="KWP77" s="44"/>
      <c r="KWQ77" s="44"/>
      <c r="KWR77" s="44"/>
      <c r="KWS77" s="44"/>
      <c r="KWT77" s="44"/>
      <c r="KWU77" s="44"/>
      <c r="KWV77" s="44"/>
      <c r="KWW77" s="44"/>
      <c r="KWX77" s="44"/>
      <c r="KWY77" s="44"/>
      <c r="KWZ77" s="44"/>
      <c r="KXA77" s="44"/>
      <c r="KXB77" s="44"/>
      <c r="KXC77" s="44"/>
      <c r="KXD77" s="44"/>
      <c r="KXE77" s="44"/>
      <c r="KXF77" s="44"/>
      <c r="KXG77" s="44"/>
      <c r="KXH77" s="44"/>
      <c r="KXI77" s="44"/>
      <c r="KXJ77" s="44"/>
      <c r="KXK77" s="44"/>
      <c r="KXL77" s="44"/>
      <c r="KXM77" s="44"/>
      <c r="KXN77" s="44"/>
      <c r="KXO77" s="44"/>
      <c r="KXP77" s="44"/>
      <c r="KXQ77" s="44"/>
      <c r="KXR77" s="44"/>
      <c r="KXS77" s="44"/>
      <c r="KXT77" s="44"/>
      <c r="KXU77" s="44"/>
      <c r="KXV77" s="44"/>
      <c r="KXW77" s="44"/>
      <c r="KXX77" s="44"/>
      <c r="KXY77" s="44"/>
      <c r="KXZ77" s="44"/>
      <c r="KYA77" s="44"/>
      <c r="KYB77" s="44"/>
      <c r="KYC77" s="44"/>
      <c r="KYD77" s="44"/>
      <c r="KYE77" s="44"/>
      <c r="KYF77" s="44"/>
      <c r="KYG77" s="44"/>
      <c r="KYH77" s="44"/>
      <c r="KYI77" s="44"/>
      <c r="KYJ77" s="44"/>
      <c r="KYK77" s="44"/>
      <c r="KYL77" s="44"/>
      <c r="KYM77" s="44"/>
      <c r="KYN77" s="44"/>
      <c r="KYO77" s="44"/>
      <c r="KYP77" s="44"/>
      <c r="KYQ77" s="44"/>
      <c r="KYR77" s="44"/>
      <c r="KYS77" s="44"/>
      <c r="KYT77" s="44"/>
      <c r="KYU77" s="44"/>
      <c r="KYV77" s="44"/>
      <c r="KYW77" s="44"/>
      <c r="KYX77" s="44"/>
      <c r="KYY77" s="44"/>
      <c r="KYZ77" s="44"/>
      <c r="KZA77" s="44"/>
      <c r="KZB77" s="44"/>
      <c r="KZC77" s="44"/>
      <c r="KZD77" s="44"/>
      <c r="KZE77" s="44"/>
      <c r="KZF77" s="44"/>
      <c r="KZG77" s="44"/>
      <c r="KZH77" s="44"/>
      <c r="KZI77" s="44"/>
      <c r="KZJ77" s="44"/>
      <c r="KZK77" s="44"/>
      <c r="KZL77" s="44"/>
      <c r="KZM77" s="44"/>
      <c r="KZN77" s="44"/>
      <c r="KZO77" s="44"/>
      <c r="KZP77" s="44"/>
      <c r="KZQ77" s="44"/>
      <c r="KZR77" s="44"/>
      <c r="KZS77" s="44"/>
      <c r="KZT77" s="44"/>
      <c r="KZU77" s="44"/>
      <c r="KZV77" s="44"/>
      <c r="KZW77" s="44"/>
      <c r="KZX77" s="44"/>
      <c r="KZY77" s="44"/>
      <c r="KZZ77" s="44"/>
      <c r="LAA77" s="44"/>
      <c r="LAB77" s="44"/>
      <c r="LAC77" s="44"/>
      <c r="LAD77" s="44"/>
      <c r="LAE77" s="44"/>
      <c r="LAF77" s="44"/>
      <c r="LAG77" s="44"/>
      <c r="LAH77" s="44"/>
      <c r="LAI77" s="44"/>
      <c r="LAJ77" s="44"/>
      <c r="LAK77" s="44"/>
      <c r="LAL77" s="44"/>
      <c r="LAM77" s="44"/>
      <c r="LAN77" s="44"/>
      <c r="LAO77" s="44"/>
      <c r="LAP77" s="44"/>
      <c r="LAQ77" s="44"/>
      <c r="LAR77" s="44"/>
      <c r="LAS77" s="44"/>
      <c r="LAT77" s="44"/>
      <c r="LAU77" s="44"/>
      <c r="LAV77" s="44"/>
      <c r="LAW77" s="44"/>
      <c r="LAX77" s="44"/>
      <c r="LAY77" s="44"/>
      <c r="LAZ77" s="44"/>
      <c r="LBA77" s="44"/>
      <c r="LBB77" s="44"/>
      <c r="LBC77" s="44"/>
      <c r="LBD77" s="44"/>
      <c r="LBE77" s="44"/>
      <c r="LBF77" s="44"/>
      <c r="LBG77" s="44"/>
      <c r="LBH77" s="44"/>
      <c r="LBI77" s="44"/>
      <c r="LBJ77" s="44"/>
      <c r="LBK77" s="44"/>
      <c r="LBL77" s="44"/>
      <c r="LBM77" s="44"/>
      <c r="LBN77" s="44"/>
      <c r="LBO77" s="44"/>
      <c r="LBP77" s="44"/>
      <c r="LBQ77" s="44"/>
      <c r="LBR77" s="44"/>
      <c r="LBS77" s="44"/>
      <c r="LBT77" s="44"/>
      <c r="LBU77" s="44"/>
      <c r="LBV77" s="44"/>
      <c r="LBW77" s="44"/>
      <c r="LBX77" s="44"/>
      <c r="LBY77" s="44"/>
      <c r="LBZ77" s="44"/>
      <c r="LCA77" s="44"/>
      <c r="LCB77" s="44"/>
      <c r="LCC77" s="44"/>
      <c r="LCD77" s="44"/>
      <c r="LCE77" s="44"/>
      <c r="LCF77" s="44"/>
      <c r="LCG77" s="44"/>
      <c r="LCH77" s="44"/>
      <c r="LCI77" s="44"/>
      <c r="LCJ77" s="44"/>
      <c r="LCK77" s="44"/>
      <c r="LCL77" s="44"/>
      <c r="LCM77" s="44"/>
      <c r="LCN77" s="44"/>
      <c r="LCO77" s="44"/>
      <c r="LCP77" s="44"/>
      <c r="LCQ77" s="44"/>
      <c r="LCR77" s="44"/>
      <c r="LCS77" s="44"/>
      <c r="LCT77" s="44"/>
      <c r="LCU77" s="44"/>
      <c r="LCV77" s="44"/>
      <c r="LCW77" s="44"/>
      <c r="LCX77" s="44"/>
      <c r="LCY77" s="44"/>
      <c r="LCZ77" s="44"/>
      <c r="LDA77" s="44"/>
      <c r="LDB77" s="44"/>
      <c r="LDC77" s="44"/>
      <c r="LDD77" s="44"/>
      <c r="LDE77" s="44"/>
      <c r="LDF77" s="44"/>
      <c r="LDG77" s="44"/>
      <c r="LDH77" s="44"/>
      <c r="LDI77" s="44"/>
      <c r="LDJ77" s="44"/>
      <c r="LDK77" s="44"/>
      <c r="LDL77" s="44"/>
      <c r="LDM77" s="44"/>
      <c r="LDN77" s="44"/>
      <c r="LDO77" s="44"/>
      <c r="LDP77" s="44"/>
      <c r="LDQ77" s="44"/>
      <c r="LDR77" s="44"/>
      <c r="LDS77" s="44"/>
      <c r="LDT77" s="44"/>
      <c r="LDU77" s="44"/>
      <c r="LDV77" s="44"/>
      <c r="LDW77" s="44"/>
      <c r="LDX77" s="44"/>
      <c r="LDY77" s="44"/>
      <c r="LDZ77" s="44"/>
      <c r="LEA77" s="44"/>
      <c r="LEB77" s="44"/>
      <c r="LEC77" s="44"/>
      <c r="LED77" s="44"/>
      <c r="LEE77" s="44"/>
      <c r="LEF77" s="44"/>
      <c r="LEG77" s="44"/>
      <c r="LEH77" s="44"/>
      <c r="LEI77" s="44"/>
      <c r="LEJ77" s="44"/>
      <c r="LEK77" s="44"/>
      <c r="LEL77" s="44"/>
      <c r="LEM77" s="44"/>
      <c r="LEN77" s="44"/>
      <c r="LEO77" s="44"/>
      <c r="LEP77" s="44"/>
      <c r="LEQ77" s="44"/>
      <c r="LER77" s="44"/>
      <c r="LES77" s="44"/>
      <c r="LET77" s="44"/>
      <c r="LEU77" s="44"/>
      <c r="LEV77" s="44"/>
      <c r="LEW77" s="44"/>
      <c r="LEX77" s="44"/>
      <c r="LEY77" s="44"/>
      <c r="LEZ77" s="44"/>
      <c r="LFA77" s="44"/>
      <c r="LFB77" s="44"/>
      <c r="LFC77" s="44"/>
      <c r="LFD77" s="44"/>
      <c r="LFE77" s="44"/>
      <c r="LFF77" s="44"/>
      <c r="LFG77" s="44"/>
      <c r="LFH77" s="44"/>
      <c r="LFI77" s="44"/>
      <c r="LFJ77" s="44"/>
      <c r="LFK77" s="44"/>
      <c r="LFL77" s="44"/>
      <c r="LFM77" s="44"/>
      <c r="LFN77" s="44"/>
      <c r="LFO77" s="44"/>
      <c r="LFP77" s="44"/>
      <c r="LFQ77" s="44"/>
      <c r="LFR77" s="44"/>
      <c r="LFS77" s="44"/>
      <c r="LFT77" s="44"/>
      <c r="LFU77" s="44"/>
      <c r="LFV77" s="44"/>
      <c r="LFW77" s="44"/>
      <c r="LFX77" s="44"/>
      <c r="LFY77" s="44"/>
      <c r="LFZ77" s="44"/>
      <c r="LGA77" s="44"/>
      <c r="LGB77" s="44"/>
      <c r="LGC77" s="44"/>
      <c r="LGD77" s="44"/>
      <c r="LGE77" s="44"/>
      <c r="LGF77" s="44"/>
      <c r="LGG77" s="44"/>
      <c r="LGH77" s="44"/>
      <c r="LGI77" s="44"/>
      <c r="LGJ77" s="44"/>
      <c r="LGK77" s="44"/>
      <c r="LGL77" s="44"/>
      <c r="LGM77" s="44"/>
      <c r="LGN77" s="44"/>
      <c r="LGO77" s="44"/>
      <c r="LGP77" s="44"/>
      <c r="LGQ77" s="44"/>
      <c r="LGR77" s="44"/>
      <c r="LGS77" s="44"/>
      <c r="LGT77" s="44"/>
      <c r="LGU77" s="44"/>
      <c r="LGV77" s="44"/>
      <c r="LGW77" s="44"/>
      <c r="LGX77" s="44"/>
      <c r="LGY77" s="44"/>
      <c r="LGZ77" s="44"/>
      <c r="LHA77" s="44"/>
      <c r="LHB77" s="44"/>
      <c r="LHC77" s="44"/>
      <c r="LHD77" s="44"/>
      <c r="LHE77" s="44"/>
      <c r="LHF77" s="44"/>
      <c r="LHG77" s="44"/>
      <c r="LHH77" s="44"/>
      <c r="LHI77" s="44"/>
      <c r="LHJ77" s="44"/>
      <c r="LHK77" s="44"/>
      <c r="LHL77" s="44"/>
      <c r="LHM77" s="44"/>
      <c r="LHN77" s="44"/>
      <c r="LHO77" s="44"/>
      <c r="LHP77" s="44"/>
      <c r="LHQ77" s="44"/>
      <c r="LHR77" s="44"/>
      <c r="LHS77" s="44"/>
      <c r="LHT77" s="44"/>
      <c r="LHU77" s="44"/>
      <c r="LHV77" s="44"/>
      <c r="LHW77" s="44"/>
      <c r="LHX77" s="44"/>
      <c r="LHY77" s="44"/>
      <c r="LHZ77" s="44"/>
      <c r="LIA77" s="44"/>
      <c r="LIB77" s="44"/>
      <c r="LIC77" s="44"/>
      <c r="LID77" s="44"/>
      <c r="LIE77" s="44"/>
      <c r="LIF77" s="44"/>
      <c r="LIG77" s="44"/>
      <c r="LIH77" s="44"/>
      <c r="LII77" s="44"/>
      <c r="LIJ77" s="44"/>
      <c r="LIK77" s="44"/>
      <c r="LIL77" s="44"/>
      <c r="LIM77" s="44"/>
      <c r="LIN77" s="44"/>
      <c r="LIO77" s="44"/>
      <c r="LIP77" s="44"/>
      <c r="LIQ77" s="44"/>
      <c r="LIR77" s="44"/>
      <c r="LIS77" s="44"/>
      <c r="LIT77" s="44"/>
      <c r="LIU77" s="44"/>
      <c r="LIV77" s="44"/>
      <c r="LIW77" s="44"/>
      <c r="LIX77" s="44"/>
      <c r="LIY77" s="44"/>
      <c r="LIZ77" s="44"/>
      <c r="LJA77" s="44"/>
      <c r="LJB77" s="44"/>
      <c r="LJC77" s="44"/>
      <c r="LJD77" s="44"/>
      <c r="LJE77" s="44"/>
      <c r="LJF77" s="44"/>
      <c r="LJG77" s="44"/>
      <c r="LJH77" s="44"/>
      <c r="LJI77" s="44"/>
      <c r="LJJ77" s="44"/>
      <c r="LJK77" s="44"/>
      <c r="LJL77" s="44"/>
      <c r="LJM77" s="44"/>
      <c r="LJN77" s="44"/>
      <c r="LJO77" s="44"/>
      <c r="LJP77" s="44"/>
      <c r="LJQ77" s="44"/>
      <c r="LJR77" s="44"/>
      <c r="LJS77" s="44"/>
      <c r="LJT77" s="44"/>
      <c r="LJU77" s="44"/>
      <c r="LJV77" s="44"/>
      <c r="LJW77" s="44"/>
      <c r="LJX77" s="44"/>
      <c r="LJY77" s="44"/>
      <c r="LJZ77" s="44"/>
      <c r="LKA77" s="44"/>
      <c r="LKB77" s="44"/>
      <c r="LKC77" s="44"/>
      <c r="LKD77" s="44"/>
      <c r="LKE77" s="44"/>
      <c r="LKF77" s="44"/>
      <c r="LKG77" s="44"/>
      <c r="LKH77" s="44"/>
      <c r="LKI77" s="44"/>
      <c r="LKJ77" s="44"/>
      <c r="LKK77" s="44"/>
      <c r="LKL77" s="44"/>
      <c r="LKM77" s="44"/>
      <c r="LKN77" s="44"/>
      <c r="LKO77" s="44"/>
      <c r="LKP77" s="44"/>
      <c r="LKQ77" s="44"/>
      <c r="LKR77" s="44"/>
      <c r="LKS77" s="44"/>
      <c r="LKT77" s="44"/>
      <c r="LKU77" s="44"/>
      <c r="LKV77" s="44"/>
      <c r="LKW77" s="44"/>
      <c r="LKX77" s="44"/>
      <c r="LKY77" s="44"/>
      <c r="LKZ77" s="44"/>
      <c r="LLA77" s="44"/>
      <c r="LLB77" s="44"/>
      <c r="LLC77" s="44"/>
      <c r="LLD77" s="44"/>
      <c r="LLE77" s="44"/>
      <c r="LLF77" s="44"/>
      <c r="LLG77" s="44"/>
      <c r="LLH77" s="44"/>
      <c r="LLI77" s="44"/>
      <c r="LLJ77" s="44"/>
      <c r="LLK77" s="44"/>
      <c r="LLL77" s="44"/>
      <c r="LLM77" s="44"/>
      <c r="LLN77" s="44"/>
      <c r="LLO77" s="44"/>
      <c r="LLP77" s="44"/>
      <c r="LLQ77" s="44"/>
      <c r="LLR77" s="44"/>
      <c r="LLS77" s="44"/>
      <c r="LLT77" s="44"/>
      <c r="LLU77" s="44"/>
      <c r="LLV77" s="44"/>
      <c r="LLW77" s="44"/>
      <c r="LLX77" s="44"/>
      <c r="LLY77" s="44"/>
      <c r="LLZ77" s="44"/>
      <c r="LMA77" s="44"/>
      <c r="LMB77" s="44"/>
      <c r="LMC77" s="44"/>
      <c r="LMD77" s="44"/>
      <c r="LME77" s="44"/>
      <c r="LMF77" s="44"/>
      <c r="LMG77" s="44"/>
      <c r="LMH77" s="44"/>
      <c r="LMI77" s="44"/>
      <c r="LMJ77" s="44"/>
      <c r="LMK77" s="44"/>
      <c r="LML77" s="44"/>
      <c r="LMM77" s="44"/>
      <c r="LMN77" s="44"/>
      <c r="LMO77" s="44"/>
      <c r="LMP77" s="44"/>
      <c r="LMQ77" s="44"/>
      <c r="LMR77" s="44"/>
      <c r="LMS77" s="44"/>
      <c r="LMT77" s="44"/>
      <c r="LMU77" s="44"/>
      <c r="LMV77" s="44"/>
      <c r="LMW77" s="44"/>
      <c r="LMX77" s="44"/>
      <c r="LMY77" s="44"/>
      <c r="LMZ77" s="44"/>
      <c r="LNA77" s="44"/>
      <c r="LNB77" s="44"/>
      <c r="LNC77" s="44"/>
      <c r="LND77" s="44"/>
      <c r="LNE77" s="44"/>
      <c r="LNF77" s="44"/>
      <c r="LNG77" s="44"/>
      <c r="LNH77" s="44"/>
      <c r="LNI77" s="44"/>
      <c r="LNJ77" s="44"/>
      <c r="LNK77" s="44"/>
      <c r="LNL77" s="44"/>
      <c r="LNM77" s="44"/>
      <c r="LNN77" s="44"/>
      <c r="LNO77" s="44"/>
      <c r="LNP77" s="44"/>
      <c r="LNQ77" s="44"/>
      <c r="LNR77" s="44"/>
      <c r="LNS77" s="44"/>
      <c r="LNT77" s="44"/>
      <c r="LNU77" s="44"/>
      <c r="LNV77" s="44"/>
      <c r="LNW77" s="44"/>
      <c r="LNX77" s="44"/>
      <c r="LNY77" s="44"/>
      <c r="LNZ77" s="44"/>
      <c r="LOA77" s="44"/>
      <c r="LOB77" s="44"/>
      <c r="LOC77" s="44"/>
      <c r="LOD77" s="44"/>
      <c r="LOE77" s="44"/>
      <c r="LOF77" s="44"/>
      <c r="LOG77" s="44"/>
      <c r="LOH77" s="44"/>
      <c r="LOI77" s="44"/>
      <c r="LOJ77" s="44"/>
      <c r="LOK77" s="44"/>
      <c r="LOL77" s="44"/>
      <c r="LOM77" s="44"/>
      <c r="LON77" s="44"/>
      <c r="LOO77" s="44"/>
      <c r="LOP77" s="44"/>
      <c r="LOQ77" s="44"/>
      <c r="LOR77" s="44"/>
      <c r="LOS77" s="44"/>
      <c r="LOT77" s="44"/>
      <c r="LOU77" s="44"/>
      <c r="LOV77" s="44"/>
      <c r="LOW77" s="44"/>
      <c r="LOX77" s="44"/>
      <c r="LOY77" s="44"/>
      <c r="LOZ77" s="44"/>
      <c r="LPA77" s="44"/>
      <c r="LPB77" s="44"/>
      <c r="LPC77" s="44"/>
      <c r="LPD77" s="44"/>
      <c r="LPE77" s="44"/>
      <c r="LPF77" s="44"/>
      <c r="LPG77" s="44"/>
      <c r="LPH77" s="44"/>
      <c r="LPI77" s="44"/>
      <c r="LPJ77" s="44"/>
      <c r="LPK77" s="44"/>
      <c r="LPL77" s="44"/>
      <c r="LPM77" s="44"/>
      <c r="LPN77" s="44"/>
      <c r="LPO77" s="44"/>
      <c r="LPP77" s="44"/>
      <c r="LPQ77" s="44"/>
      <c r="LPR77" s="44"/>
      <c r="LPS77" s="44"/>
      <c r="LPT77" s="44"/>
      <c r="LPU77" s="44"/>
      <c r="LPV77" s="44"/>
      <c r="LPW77" s="44"/>
      <c r="LPX77" s="44"/>
      <c r="LPY77" s="44"/>
      <c r="LPZ77" s="44"/>
      <c r="LQA77" s="44"/>
      <c r="LQB77" s="44"/>
      <c r="LQC77" s="44"/>
      <c r="LQD77" s="44"/>
      <c r="LQE77" s="44"/>
      <c r="LQF77" s="44"/>
      <c r="LQG77" s="44"/>
      <c r="LQH77" s="44"/>
      <c r="LQI77" s="44"/>
      <c r="LQJ77" s="44"/>
      <c r="LQK77" s="44"/>
      <c r="LQL77" s="44"/>
      <c r="LQM77" s="44"/>
      <c r="LQN77" s="44"/>
      <c r="LQO77" s="44"/>
      <c r="LQP77" s="44"/>
      <c r="LQQ77" s="44"/>
      <c r="LQR77" s="44"/>
      <c r="LQS77" s="44"/>
      <c r="LQT77" s="44"/>
      <c r="LQU77" s="44"/>
      <c r="LQV77" s="44"/>
      <c r="LQW77" s="44"/>
      <c r="LQX77" s="44"/>
      <c r="LQY77" s="44"/>
      <c r="LQZ77" s="44"/>
      <c r="LRA77" s="44"/>
      <c r="LRB77" s="44"/>
      <c r="LRC77" s="44"/>
      <c r="LRD77" s="44"/>
      <c r="LRE77" s="44"/>
      <c r="LRF77" s="44"/>
      <c r="LRG77" s="44"/>
      <c r="LRH77" s="44"/>
      <c r="LRI77" s="44"/>
      <c r="LRJ77" s="44"/>
      <c r="LRK77" s="44"/>
      <c r="LRL77" s="44"/>
      <c r="LRM77" s="44"/>
      <c r="LRN77" s="44"/>
      <c r="LRO77" s="44"/>
      <c r="LRP77" s="44"/>
      <c r="LRQ77" s="44"/>
      <c r="LRR77" s="44"/>
      <c r="LRS77" s="44"/>
      <c r="LRT77" s="44"/>
      <c r="LRU77" s="44"/>
      <c r="LRV77" s="44"/>
      <c r="LRW77" s="44"/>
      <c r="LRX77" s="44"/>
      <c r="LRY77" s="44"/>
      <c r="LRZ77" s="44"/>
      <c r="LSA77" s="44"/>
      <c r="LSB77" s="44"/>
      <c r="LSC77" s="44"/>
      <c r="LSD77" s="44"/>
      <c r="LSE77" s="44"/>
      <c r="LSF77" s="44"/>
      <c r="LSG77" s="44"/>
      <c r="LSH77" s="44"/>
      <c r="LSI77" s="44"/>
      <c r="LSJ77" s="44"/>
      <c r="LSK77" s="44"/>
      <c r="LSL77" s="44"/>
      <c r="LSM77" s="44"/>
      <c r="LSN77" s="44"/>
      <c r="LSO77" s="44"/>
      <c r="LSP77" s="44"/>
      <c r="LSQ77" s="44"/>
      <c r="LSR77" s="44"/>
      <c r="LSS77" s="44"/>
      <c r="LST77" s="44"/>
      <c r="LSU77" s="44"/>
      <c r="LSV77" s="44"/>
      <c r="LSW77" s="44"/>
      <c r="LSX77" s="44"/>
      <c r="LSY77" s="44"/>
      <c r="LSZ77" s="44"/>
      <c r="LTA77" s="44"/>
      <c r="LTB77" s="44"/>
      <c r="LTC77" s="44"/>
      <c r="LTD77" s="44"/>
      <c r="LTE77" s="44"/>
      <c r="LTF77" s="44"/>
      <c r="LTG77" s="44"/>
      <c r="LTH77" s="44"/>
      <c r="LTI77" s="44"/>
      <c r="LTJ77" s="44"/>
      <c r="LTK77" s="44"/>
      <c r="LTL77" s="44"/>
      <c r="LTM77" s="44"/>
      <c r="LTN77" s="44"/>
      <c r="LTO77" s="44"/>
      <c r="LTP77" s="44"/>
      <c r="LTQ77" s="44"/>
      <c r="LTR77" s="44"/>
      <c r="LTS77" s="44"/>
      <c r="LTT77" s="44"/>
      <c r="LTU77" s="44"/>
      <c r="LTV77" s="44"/>
      <c r="LTW77" s="44"/>
      <c r="LTX77" s="44"/>
      <c r="LTY77" s="44"/>
      <c r="LTZ77" s="44"/>
      <c r="LUA77" s="44"/>
      <c r="LUB77" s="44"/>
      <c r="LUC77" s="44"/>
      <c r="LUD77" s="44"/>
      <c r="LUE77" s="44"/>
      <c r="LUF77" s="44"/>
      <c r="LUG77" s="44"/>
      <c r="LUH77" s="44"/>
      <c r="LUI77" s="44"/>
      <c r="LUJ77" s="44"/>
      <c r="LUK77" s="44"/>
      <c r="LUL77" s="44"/>
      <c r="LUM77" s="44"/>
      <c r="LUN77" s="44"/>
      <c r="LUO77" s="44"/>
      <c r="LUP77" s="44"/>
      <c r="LUQ77" s="44"/>
      <c r="LUR77" s="44"/>
      <c r="LUS77" s="44"/>
      <c r="LUT77" s="44"/>
      <c r="LUU77" s="44"/>
      <c r="LUV77" s="44"/>
      <c r="LUW77" s="44"/>
      <c r="LUX77" s="44"/>
      <c r="LUY77" s="44"/>
      <c r="LUZ77" s="44"/>
      <c r="LVA77" s="44"/>
      <c r="LVB77" s="44"/>
      <c r="LVC77" s="44"/>
      <c r="LVD77" s="44"/>
      <c r="LVE77" s="44"/>
      <c r="LVF77" s="44"/>
      <c r="LVG77" s="44"/>
      <c r="LVH77" s="44"/>
      <c r="LVI77" s="44"/>
      <c r="LVJ77" s="44"/>
      <c r="LVK77" s="44"/>
      <c r="LVL77" s="44"/>
      <c r="LVM77" s="44"/>
      <c r="LVN77" s="44"/>
      <c r="LVO77" s="44"/>
      <c r="LVP77" s="44"/>
      <c r="LVQ77" s="44"/>
      <c r="LVR77" s="44"/>
      <c r="LVS77" s="44"/>
      <c r="LVT77" s="44"/>
      <c r="LVU77" s="44"/>
      <c r="LVV77" s="44"/>
      <c r="LVW77" s="44"/>
      <c r="LVX77" s="44"/>
      <c r="LVY77" s="44"/>
      <c r="LVZ77" s="44"/>
      <c r="LWA77" s="44"/>
      <c r="LWB77" s="44"/>
      <c r="LWC77" s="44"/>
      <c r="LWD77" s="44"/>
      <c r="LWE77" s="44"/>
      <c r="LWF77" s="44"/>
      <c r="LWG77" s="44"/>
      <c r="LWH77" s="44"/>
      <c r="LWI77" s="44"/>
      <c r="LWJ77" s="44"/>
      <c r="LWK77" s="44"/>
      <c r="LWL77" s="44"/>
      <c r="LWM77" s="44"/>
      <c r="LWN77" s="44"/>
      <c r="LWO77" s="44"/>
      <c r="LWP77" s="44"/>
      <c r="LWQ77" s="44"/>
      <c r="LWR77" s="44"/>
      <c r="LWS77" s="44"/>
      <c r="LWT77" s="44"/>
      <c r="LWU77" s="44"/>
      <c r="LWV77" s="44"/>
      <c r="LWW77" s="44"/>
      <c r="LWX77" s="44"/>
      <c r="LWY77" s="44"/>
      <c r="LWZ77" s="44"/>
      <c r="LXA77" s="44"/>
      <c r="LXB77" s="44"/>
      <c r="LXC77" s="44"/>
      <c r="LXD77" s="44"/>
      <c r="LXE77" s="44"/>
      <c r="LXF77" s="44"/>
      <c r="LXG77" s="44"/>
      <c r="LXH77" s="44"/>
      <c r="LXI77" s="44"/>
      <c r="LXJ77" s="44"/>
      <c r="LXK77" s="44"/>
      <c r="LXL77" s="44"/>
      <c r="LXM77" s="44"/>
      <c r="LXN77" s="44"/>
      <c r="LXO77" s="44"/>
      <c r="LXP77" s="44"/>
      <c r="LXQ77" s="44"/>
      <c r="LXR77" s="44"/>
      <c r="LXS77" s="44"/>
      <c r="LXT77" s="44"/>
      <c r="LXU77" s="44"/>
      <c r="LXV77" s="44"/>
      <c r="LXW77" s="44"/>
      <c r="LXX77" s="44"/>
      <c r="LXY77" s="44"/>
      <c r="LXZ77" s="44"/>
      <c r="LYA77" s="44"/>
      <c r="LYB77" s="44"/>
      <c r="LYC77" s="44"/>
      <c r="LYD77" s="44"/>
      <c r="LYE77" s="44"/>
      <c r="LYF77" s="44"/>
      <c r="LYG77" s="44"/>
      <c r="LYH77" s="44"/>
      <c r="LYI77" s="44"/>
      <c r="LYJ77" s="44"/>
      <c r="LYK77" s="44"/>
      <c r="LYL77" s="44"/>
      <c r="LYM77" s="44"/>
      <c r="LYN77" s="44"/>
      <c r="LYO77" s="44"/>
      <c r="LYP77" s="44"/>
      <c r="LYQ77" s="44"/>
      <c r="LYR77" s="44"/>
      <c r="LYS77" s="44"/>
      <c r="LYT77" s="44"/>
      <c r="LYU77" s="44"/>
      <c r="LYV77" s="44"/>
      <c r="LYW77" s="44"/>
      <c r="LYX77" s="44"/>
      <c r="LYY77" s="44"/>
      <c r="LYZ77" s="44"/>
      <c r="LZA77" s="44"/>
      <c r="LZB77" s="44"/>
      <c r="LZC77" s="44"/>
      <c r="LZD77" s="44"/>
      <c r="LZE77" s="44"/>
      <c r="LZF77" s="44"/>
      <c r="LZG77" s="44"/>
      <c r="LZH77" s="44"/>
      <c r="LZI77" s="44"/>
      <c r="LZJ77" s="44"/>
      <c r="LZK77" s="44"/>
      <c r="LZL77" s="44"/>
      <c r="LZM77" s="44"/>
      <c r="LZN77" s="44"/>
      <c r="LZO77" s="44"/>
      <c r="LZP77" s="44"/>
      <c r="LZQ77" s="44"/>
      <c r="LZR77" s="44"/>
      <c r="LZS77" s="44"/>
      <c r="LZT77" s="44"/>
      <c r="LZU77" s="44"/>
      <c r="LZV77" s="44"/>
      <c r="LZW77" s="44"/>
      <c r="LZX77" s="44"/>
      <c r="LZY77" s="44"/>
      <c r="LZZ77" s="44"/>
      <c r="MAA77" s="44"/>
      <c r="MAB77" s="44"/>
      <c r="MAC77" s="44"/>
      <c r="MAD77" s="44"/>
      <c r="MAE77" s="44"/>
      <c r="MAF77" s="44"/>
      <c r="MAG77" s="44"/>
      <c r="MAH77" s="44"/>
      <c r="MAI77" s="44"/>
      <c r="MAJ77" s="44"/>
      <c r="MAK77" s="44"/>
      <c r="MAL77" s="44"/>
      <c r="MAM77" s="44"/>
      <c r="MAN77" s="44"/>
      <c r="MAO77" s="44"/>
      <c r="MAP77" s="44"/>
      <c r="MAQ77" s="44"/>
      <c r="MAR77" s="44"/>
      <c r="MAS77" s="44"/>
      <c r="MAT77" s="44"/>
      <c r="MAU77" s="44"/>
      <c r="MAV77" s="44"/>
      <c r="MAW77" s="44"/>
      <c r="MAX77" s="44"/>
      <c r="MAY77" s="44"/>
      <c r="MAZ77" s="44"/>
      <c r="MBA77" s="44"/>
      <c r="MBB77" s="44"/>
      <c r="MBC77" s="44"/>
      <c r="MBD77" s="44"/>
      <c r="MBE77" s="44"/>
      <c r="MBF77" s="44"/>
      <c r="MBG77" s="44"/>
      <c r="MBH77" s="44"/>
      <c r="MBI77" s="44"/>
      <c r="MBJ77" s="44"/>
      <c r="MBK77" s="44"/>
      <c r="MBL77" s="44"/>
      <c r="MBM77" s="44"/>
      <c r="MBN77" s="44"/>
      <c r="MBO77" s="44"/>
      <c r="MBP77" s="44"/>
      <c r="MBQ77" s="44"/>
      <c r="MBR77" s="44"/>
      <c r="MBS77" s="44"/>
      <c r="MBT77" s="44"/>
      <c r="MBU77" s="44"/>
      <c r="MBV77" s="44"/>
      <c r="MBW77" s="44"/>
      <c r="MBX77" s="44"/>
      <c r="MBY77" s="44"/>
      <c r="MBZ77" s="44"/>
      <c r="MCA77" s="44"/>
      <c r="MCB77" s="44"/>
      <c r="MCC77" s="44"/>
      <c r="MCD77" s="44"/>
      <c r="MCE77" s="44"/>
      <c r="MCF77" s="44"/>
      <c r="MCG77" s="44"/>
      <c r="MCH77" s="44"/>
      <c r="MCI77" s="44"/>
      <c r="MCJ77" s="44"/>
      <c r="MCK77" s="44"/>
      <c r="MCL77" s="44"/>
      <c r="MCM77" s="44"/>
      <c r="MCN77" s="44"/>
      <c r="MCO77" s="44"/>
      <c r="MCP77" s="44"/>
      <c r="MCQ77" s="44"/>
      <c r="MCR77" s="44"/>
      <c r="MCS77" s="44"/>
      <c r="MCT77" s="44"/>
      <c r="MCU77" s="44"/>
      <c r="MCV77" s="44"/>
      <c r="MCW77" s="44"/>
      <c r="MCX77" s="44"/>
      <c r="MCY77" s="44"/>
      <c r="MCZ77" s="44"/>
      <c r="MDA77" s="44"/>
      <c r="MDB77" s="44"/>
      <c r="MDC77" s="44"/>
      <c r="MDD77" s="44"/>
      <c r="MDE77" s="44"/>
      <c r="MDF77" s="44"/>
      <c r="MDG77" s="44"/>
      <c r="MDH77" s="44"/>
      <c r="MDI77" s="44"/>
      <c r="MDJ77" s="44"/>
      <c r="MDK77" s="44"/>
      <c r="MDL77" s="44"/>
      <c r="MDM77" s="44"/>
      <c r="MDN77" s="44"/>
      <c r="MDO77" s="44"/>
      <c r="MDP77" s="44"/>
      <c r="MDQ77" s="44"/>
      <c r="MDR77" s="44"/>
      <c r="MDS77" s="44"/>
      <c r="MDT77" s="44"/>
      <c r="MDU77" s="44"/>
      <c r="MDV77" s="44"/>
      <c r="MDW77" s="44"/>
      <c r="MDX77" s="44"/>
      <c r="MDY77" s="44"/>
      <c r="MDZ77" s="44"/>
      <c r="MEA77" s="44"/>
      <c r="MEB77" s="44"/>
      <c r="MEC77" s="44"/>
      <c r="MED77" s="44"/>
      <c r="MEE77" s="44"/>
      <c r="MEF77" s="44"/>
      <c r="MEG77" s="44"/>
      <c r="MEH77" s="44"/>
      <c r="MEI77" s="44"/>
      <c r="MEJ77" s="44"/>
      <c r="MEK77" s="44"/>
      <c r="MEL77" s="44"/>
      <c r="MEM77" s="44"/>
      <c r="MEN77" s="44"/>
      <c r="MEO77" s="44"/>
      <c r="MEP77" s="44"/>
      <c r="MEQ77" s="44"/>
      <c r="MER77" s="44"/>
      <c r="MES77" s="44"/>
      <c r="MET77" s="44"/>
      <c r="MEU77" s="44"/>
      <c r="MEV77" s="44"/>
      <c r="MEW77" s="44"/>
      <c r="MEX77" s="44"/>
      <c r="MEY77" s="44"/>
      <c r="MEZ77" s="44"/>
      <c r="MFA77" s="44"/>
      <c r="MFB77" s="44"/>
      <c r="MFC77" s="44"/>
      <c r="MFD77" s="44"/>
      <c r="MFE77" s="44"/>
      <c r="MFF77" s="44"/>
      <c r="MFG77" s="44"/>
      <c r="MFH77" s="44"/>
      <c r="MFI77" s="44"/>
      <c r="MFJ77" s="44"/>
      <c r="MFK77" s="44"/>
      <c r="MFL77" s="44"/>
      <c r="MFM77" s="44"/>
      <c r="MFN77" s="44"/>
      <c r="MFO77" s="44"/>
      <c r="MFP77" s="44"/>
      <c r="MFQ77" s="44"/>
      <c r="MFR77" s="44"/>
      <c r="MFS77" s="44"/>
      <c r="MFT77" s="44"/>
      <c r="MFU77" s="44"/>
      <c r="MFV77" s="44"/>
      <c r="MFW77" s="44"/>
      <c r="MFX77" s="44"/>
      <c r="MFY77" s="44"/>
      <c r="MFZ77" s="44"/>
      <c r="MGA77" s="44"/>
      <c r="MGB77" s="44"/>
      <c r="MGC77" s="44"/>
      <c r="MGD77" s="44"/>
      <c r="MGE77" s="44"/>
      <c r="MGF77" s="44"/>
      <c r="MGG77" s="44"/>
      <c r="MGH77" s="44"/>
      <c r="MGI77" s="44"/>
      <c r="MGJ77" s="44"/>
      <c r="MGK77" s="44"/>
      <c r="MGL77" s="44"/>
      <c r="MGM77" s="44"/>
      <c r="MGN77" s="44"/>
      <c r="MGO77" s="44"/>
      <c r="MGP77" s="44"/>
      <c r="MGQ77" s="44"/>
      <c r="MGR77" s="44"/>
      <c r="MGS77" s="44"/>
      <c r="MGT77" s="44"/>
      <c r="MGU77" s="44"/>
      <c r="MGV77" s="44"/>
      <c r="MGW77" s="44"/>
      <c r="MGX77" s="44"/>
      <c r="MGY77" s="44"/>
      <c r="MGZ77" s="44"/>
      <c r="MHA77" s="44"/>
      <c r="MHB77" s="44"/>
      <c r="MHC77" s="44"/>
      <c r="MHD77" s="44"/>
      <c r="MHE77" s="44"/>
      <c r="MHF77" s="44"/>
      <c r="MHG77" s="44"/>
      <c r="MHH77" s="44"/>
      <c r="MHI77" s="44"/>
      <c r="MHJ77" s="44"/>
      <c r="MHK77" s="44"/>
      <c r="MHL77" s="44"/>
      <c r="MHM77" s="44"/>
      <c r="MHN77" s="44"/>
      <c r="MHO77" s="44"/>
      <c r="MHP77" s="44"/>
      <c r="MHQ77" s="44"/>
      <c r="MHR77" s="44"/>
      <c r="MHS77" s="44"/>
      <c r="MHT77" s="44"/>
      <c r="MHU77" s="44"/>
      <c r="MHV77" s="44"/>
      <c r="MHW77" s="44"/>
      <c r="MHX77" s="44"/>
      <c r="MHY77" s="44"/>
      <c r="MHZ77" s="44"/>
      <c r="MIA77" s="44"/>
      <c r="MIB77" s="44"/>
      <c r="MIC77" s="44"/>
      <c r="MID77" s="44"/>
      <c r="MIE77" s="44"/>
      <c r="MIF77" s="44"/>
      <c r="MIG77" s="44"/>
      <c r="MIH77" s="44"/>
      <c r="MII77" s="44"/>
      <c r="MIJ77" s="44"/>
      <c r="MIK77" s="44"/>
      <c r="MIL77" s="44"/>
      <c r="MIM77" s="44"/>
      <c r="MIN77" s="44"/>
      <c r="MIO77" s="44"/>
      <c r="MIP77" s="44"/>
      <c r="MIQ77" s="44"/>
      <c r="MIR77" s="44"/>
      <c r="MIS77" s="44"/>
      <c r="MIT77" s="44"/>
      <c r="MIU77" s="44"/>
      <c r="MIV77" s="44"/>
      <c r="MIW77" s="44"/>
      <c r="MIX77" s="44"/>
      <c r="MIY77" s="44"/>
      <c r="MIZ77" s="44"/>
      <c r="MJA77" s="44"/>
      <c r="MJB77" s="44"/>
      <c r="MJC77" s="44"/>
      <c r="MJD77" s="44"/>
      <c r="MJE77" s="44"/>
      <c r="MJF77" s="44"/>
      <c r="MJG77" s="44"/>
      <c r="MJH77" s="44"/>
      <c r="MJI77" s="44"/>
      <c r="MJJ77" s="44"/>
      <c r="MJK77" s="44"/>
      <c r="MJL77" s="44"/>
      <c r="MJM77" s="44"/>
      <c r="MJN77" s="44"/>
      <c r="MJO77" s="44"/>
      <c r="MJP77" s="44"/>
      <c r="MJQ77" s="44"/>
      <c r="MJR77" s="44"/>
      <c r="MJS77" s="44"/>
      <c r="MJT77" s="44"/>
      <c r="MJU77" s="44"/>
      <c r="MJV77" s="44"/>
      <c r="MJW77" s="44"/>
      <c r="MJX77" s="44"/>
      <c r="MJY77" s="44"/>
      <c r="MJZ77" s="44"/>
      <c r="MKA77" s="44"/>
      <c r="MKB77" s="44"/>
      <c r="MKC77" s="44"/>
      <c r="MKD77" s="44"/>
      <c r="MKE77" s="44"/>
      <c r="MKF77" s="44"/>
      <c r="MKG77" s="44"/>
      <c r="MKH77" s="44"/>
      <c r="MKI77" s="44"/>
      <c r="MKJ77" s="44"/>
      <c r="MKK77" s="44"/>
      <c r="MKL77" s="44"/>
      <c r="MKM77" s="44"/>
      <c r="MKN77" s="44"/>
      <c r="MKO77" s="44"/>
      <c r="MKP77" s="44"/>
      <c r="MKQ77" s="44"/>
      <c r="MKR77" s="44"/>
      <c r="MKS77" s="44"/>
      <c r="MKT77" s="44"/>
      <c r="MKU77" s="44"/>
      <c r="MKV77" s="44"/>
      <c r="MKW77" s="44"/>
      <c r="MKX77" s="44"/>
      <c r="MKY77" s="44"/>
      <c r="MKZ77" s="44"/>
      <c r="MLA77" s="44"/>
      <c r="MLB77" s="44"/>
      <c r="MLC77" s="44"/>
      <c r="MLD77" s="44"/>
      <c r="MLE77" s="44"/>
      <c r="MLF77" s="44"/>
      <c r="MLG77" s="44"/>
      <c r="MLH77" s="44"/>
      <c r="MLI77" s="44"/>
      <c r="MLJ77" s="44"/>
      <c r="MLK77" s="44"/>
      <c r="MLL77" s="44"/>
      <c r="MLM77" s="44"/>
      <c r="MLN77" s="44"/>
      <c r="MLO77" s="44"/>
      <c r="MLP77" s="44"/>
      <c r="MLQ77" s="44"/>
      <c r="MLR77" s="44"/>
      <c r="MLS77" s="44"/>
      <c r="MLT77" s="44"/>
      <c r="MLU77" s="44"/>
      <c r="MLV77" s="44"/>
      <c r="MLW77" s="44"/>
      <c r="MLX77" s="44"/>
      <c r="MLY77" s="44"/>
      <c r="MLZ77" s="44"/>
      <c r="MMA77" s="44"/>
      <c r="MMB77" s="44"/>
      <c r="MMC77" s="44"/>
      <c r="MMD77" s="44"/>
      <c r="MME77" s="44"/>
      <c r="MMF77" s="44"/>
      <c r="MMG77" s="44"/>
      <c r="MMH77" s="44"/>
      <c r="MMI77" s="44"/>
      <c r="MMJ77" s="44"/>
      <c r="MMK77" s="44"/>
      <c r="MML77" s="44"/>
      <c r="MMM77" s="44"/>
      <c r="MMN77" s="44"/>
      <c r="MMO77" s="44"/>
      <c r="MMP77" s="44"/>
      <c r="MMQ77" s="44"/>
      <c r="MMR77" s="44"/>
      <c r="MMS77" s="44"/>
      <c r="MMT77" s="44"/>
      <c r="MMU77" s="44"/>
      <c r="MMV77" s="44"/>
      <c r="MMW77" s="44"/>
      <c r="MMX77" s="44"/>
      <c r="MMY77" s="44"/>
      <c r="MMZ77" s="44"/>
      <c r="MNA77" s="44"/>
      <c r="MNB77" s="44"/>
      <c r="MNC77" s="44"/>
      <c r="MND77" s="44"/>
      <c r="MNE77" s="44"/>
      <c r="MNF77" s="44"/>
      <c r="MNG77" s="44"/>
      <c r="MNH77" s="44"/>
      <c r="MNI77" s="44"/>
      <c r="MNJ77" s="44"/>
      <c r="MNK77" s="44"/>
      <c r="MNL77" s="44"/>
      <c r="MNM77" s="44"/>
      <c r="MNN77" s="44"/>
      <c r="MNO77" s="44"/>
      <c r="MNP77" s="44"/>
      <c r="MNQ77" s="44"/>
      <c r="MNR77" s="44"/>
      <c r="MNS77" s="44"/>
      <c r="MNT77" s="44"/>
      <c r="MNU77" s="44"/>
      <c r="MNV77" s="44"/>
      <c r="MNW77" s="44"/>
      <c r="MNX77" s="44"/>
      <c r="MNY77" s="44"/>
      <c r="MNZ77" s="44"/>
      <c r="MOA77" s="44"/>
      <c r="MOB77" s="44"/>
      <c r="MOC77" s="44"/>
      <c r="MOD77" s="44"/>
      <c r="MOE77" s="44"/>
      <c r="MOF77" s="44"/>
      <c r="MOG77" s="44"/>
      <c r="MOH77" s="44"/>
      <c r="MOI77" s="44"/>
      <c r="MOJ77" s="44"/>
      <c r="MOK77" s="44"/>
      <c r="MOL77" s="44"/>
      <c r="MOM77" s="44"/>
      <c r="MON77" s="44"/>
      <c r="MOO77" s="44"/>
      <c r="MOP77" s="44"/>
      <c r="MOQ77" s="44"/>
      <c r="MOR77" s="44"/>
      <c r="MOS77" s="44"/>
      <c r="MOT77" s="44"/>
      <c r="MOU77" s="44"/>
      <c r="MOV77" s="44"/>
      <c r="MOW77" s="44"/>
      <c r="MOX77" s="44"/>
      <c r="MOY77" s="44"/>
      <c r="MOZ77" s="44"/>
      <c r="MPA77" s="44"/>
      <c r="MPB77" s="44"/>
      <c r="MPC77" s="44"/>
      <c r="MPD77" s="44"/>
      <c r="MPE77" s="44"/>
      <c r="MPF77" s="44"/>
      <c r="MPG77" s="44"/>
      <c r="MPH77" s="44"/>
      <c r="MPI77" s="44"/>
      <c r="MPJ77" s="44"/>
      <c r="MPK77" s="44"/>
      <c r="MPL77" s="44"/>
      <c r="MPM77" s="44"/>
      <c r="MPN77" s="44"/>
      <c r="MPO77" s="44"/>
      <c r="MPP77" s="44"/>
      <c r="MPQ77" s="44"/>
      <c r="MPR77" s="44"/>
      <c r="MPS77" s="44"/>
      <c r="MPT77" s="44"/>
      <c r="MPU77" s="44"/>
      <c r="MPV77" s="44"/>
      <c r="MPW77" s="44"/>
      <c r="MPX77" s="44"/>
      <c r="MPY77" s="44"/>
      <c r="MPZ77" s="44"/>
      <c r="MQA77" s="44"/>
      <c r="MQB77" s="44"/>
      <c r="MQC77" s="44"/>
      <c r="MQD77" s="44"/>
      <c r="MQE77" s="44"/>
      <c r="MQF77" s="44"/>
      <c r="MQG77" s="44"/>
      <c r="MQH77" s="44"/>
      <c r="MQI77" s="44"/>
      <c r="MQJ77" s="44"/>
      <c r="MQK77" s="44"/>
      <c r="MQL77" s="44"/>
      <c r="MQM77" s="44"/>
      <c r="MQN77" s="44"/>
      <c r="MQO77" s="44"/>
      <c r="MQP77" s="44"/>
      <c r="MQQ77" s="44"/>
      <c r="MQR77" s="44"/>
      <c r="MQS77" s="44"/>
      <c r="MQT77" s="44"/>
      <c r="MQU77" s="44"/>
      <c r="MQV77" s="44"/>
      <c r="MQW77" s="44"/>
      <c r="MQX77" s="44"/>
      <c r="MQY77" s="44"/>
      <c r="MQZ77" s="44"/>
      <c r="MRA77" s="44"/>
      <c r="MRB77" s="44"/>
      <c r="MRC77" s="44"/>
      <c r="MRD77" s="44"/>
      <c r="MRE77" s="44"/>
      <c r="MRF77" s="44"/>
      <c r="MRG77" s="44"/>
      <c r="MRH77" s="44"/>
      <c r="MRI77" s="44"/>
      <c r="MRJ77" s="44"/>
      <c r="MRK77" s="44"/>
      <c r="MRL77" s="44"/>
      <c r="MRM77" s="44"/>
      <c r="MRN77" s="44"/>
      <c r="MRO77" s="44"/>
      <c r="MRP77" s="44"/>
      <c r="MRQ77" s="44"/>
      <c r="MRR77" s="44"/>
      <c r="MRS77" s="44"/>
      <c r="MRT77" s="44"/>
      <c r="MRU77" s="44"/>
      <c r="MRV77" s="44"/>
      <c r="MRW77" s="44"/>
      <c r="MRX77" s="44"/>
      <c r="MRY77" s="44"/>
      <c r="MRZ77" s="44"/>
      <c r="MSA77" s="44"/>
      <c r="MSB77" s="44"/>
      <c r="MSC77" s="44"/>
      <c r="MSD77" s="44"/>
      <c r="MSE77" s="44"/>
      <c r="MSF77" s="44"/>
      <c r="MSG77" s="44"/>
      <c r="MSH77" s="44"/>
      <c r="MSI77" s="44"/>
      <c r="MSJ77" s="44"/>
      <c r="MSK77" s="44"/>
      <c r="MSL77" s="44"/>
      <c r="MSM77" s="44"/>
      <c r="MSN77" s="44"/>
      <c r="MSO77" s="44"/>
      <c r="MSP77" s="44"/>
      <c r="MSQ77" s="44"/>
      <c r="MSR77" s="44"/>
      <c r="MSS77" s="44"/>
      <c r="MST77" s="44"/>
      <c r="MSU77" s="44"/>
      <c r="MSV77" s="44"/>
      <c r="MSW77" s="44"/>
      <c r="MSX77" s="44"/>
      <c r="MSY77" s="44"/>
      <c r="MSZ77" s="44"/>
      <c r="MTA77" s="44"/>
      <c r="MTB77" s="44"/>
      <c r="MTC77" s="44"/>
      <c r="MTD77" s="44"/>
      <c r="MTE77" s="44"/>
      <c r="MTF77" s="44"/>
      <c r="MTG77" s="44"/>
      <c r="MTH77" s="44"/>
      <c r="MTI77" s="44"/>
      <c r="MTJ77" s="44"/>
      <c r="MTK77" s="44"/>
      <c r="MTL77" s="44"/>
      <c r="MTM77" s="44"/>
      <c r="MTN77" s="44"/>
      <c r="MTO77" s="44"/>
      <c r="MTP77" s="44"/>
      <c r="MTQ77" s="44"/>
      <c r="MTR77" s="44"/>
      <c r="MTS77" s="44"/>
      <c r="MTT77" s="44"/>
      <c r="MTU77" s="44"/>
      <c r="MTV77" s="44"/>
      <c r="MTW77" s="44"/>
      <c r="MTX77" s="44"/>
      <c r="MTY77" s="44"/>
      <c r="MTZ77" s="44"/>
      <c r="MUA77" s="44"/>
      <c r="MUB77" s="44"/>
      <c r="MUC77" s="44"/>
      <c r="MUD77" s="44"/>
      <c r="MUE77" s="44"/>
      <c r="MUF77" s="44"/>
      <c r="MUG77" s="44"/>
      <c r="MUH77" s="44"/>
      <c r="MUI77" s="44"/>
      <c r="MUJ77" s="44"/>
      <c r="MUK77" s="44"/>
      <c r="MUL77" s="44"/>
      <c r="MUM77" s="44"/>
      <c r="MUN77" s="44"/>
      <c r="MUO77" s="44"/>
      <c r="MUP77" s="44"/>
      <c r="MUQ77" s="44"/>
      <c r="MUR77" s="44"/>
      <c r="MUS77" s="44"/>
      <c r="MUT77" s="44"/>
      <c r="MUU77" s="44"/>
      <c r="MUV77" s="44"/>
      <c r="MUW77" s="44"/>
      <c r="MUX77" s="44"/>
      <c r="MUY77" s="44"/>
      <c r="MUZ77" s="44"/>
      <c r="MVA77" s="44"/>
      <c r="MVB77" s="44"/>
      <c r="MVC77" s="44"/>
      <c r="MVD77" s="44"/>
      <c r="MVE77" s="44"/>
      <c r="MVF77" s="44"/>
      <c r="MVG77" s="44"/>
      <c r="MVH77" s="44"/>
      <c r="MVI77" s="44"/>
      <c r="MVJ77" s="44"/>
      <c r="MVK77" s="44"/>
      <c r="MVL77" s="44"/>
      <c r="MVM77" s="44"/>
      <c r="MVN77" s="44"/>
      <c r="MVO77" s="44"/>
      <c r="MVP77" s="44"/>
      <c r="MVQ77" s="44"/>
      <c r="MVR77" s="44"/>
      <c r="MVS77" s="44"/>
      <c r="MVT77" s="44"/>
      <c r="MVU77" s="44"/>
      <c r="MVV77" s="44"/>
      <c r="MVW77" s="44"/>
      <c r="MVX77" s="44"/>
      <c r="MVY77" s="44"/>
      <c r="MVZ77" s="44"/>
      <c r="MWA77" s="44"/>
      <c r="MWB77" s="44"/>
      <c r="MWC77" s="44"/>
      <c r="MWD77" s="44"/>
      <c r="MWE77" s="44"/>
      <c r="MWF77" s="44"/>
      <c r="MWG77" s="44"/>
      <c r="MWH77" s="44"/>
      <c r="MWI77" s="44"/>
      <c r="MWJ77" s="44"/>
      <c r="MWK77" s="44"/>
      <c r="MWL77" s="44"/>
      <c r="MWM77" s="44"/>
      <c r="MWN77" s="44"/>
      <c r="MWO77" s="44"/>
      <c r="MWP77" s="44"/>
      <c r="MWQ77" s="44"/>
      <c r="MWR77" s="44"/>
      <c r="MWS77" s="44"/>
      <c r="MWT77" s="44"/>
      <c r="MWU77" s="44"/>
      <c r="MWV77" s="44"/>
      <c r="MWW77" s="44"/>
      <c r="MWX77" s="44"/>
      <c r="MWY77" s="44"/>
      <c r="MWZ77" s="44"/>
      <c r="MXA77" s="44"/>
      <c r="MXB77" s="44"/>
      <c r="MXC77" s="44"/>
      <c r="MXD77" s="44"/>
      <c r="MXE77" s="44"/>
      <c r="MXF77" s="44"/>
      <c r="MXG77" s="44"/>
      <c r="MXH77" s="44"/>
      <c r="MXI77" s="44"/>
      <c r="MXJ77" s="44"/>
      <c r="MXK77" s="44"/>
      <c r="MXL77" s="44"/>
      <c r="MXM77" s="44"/>
      <c r="MXN77" s="44"/>
      <c r="MXO77" s="44"/>
      <c r="MXP77" s="44"/>
      <c r="MXQ77" s="44"/>
      <c r="MXR77" s="44"/>
      <c r="MXS77" s="44"/>
      <c r="MXT77" s="44"/>
      <c r="MXU77" s="44"/>
      <c r="MXV77" s="44"/>
      <c r="MXW77" s="44"/>
      <c r="MXX77" s="44"/>
      <c r="MXY77" s="44"/>
      <c r="MXZ77" s="44"/>
      <c r="MYA77" s="44"/>
      <c r="MYB77" s="44"/>
      <c r="MYC77" s="44"/>
      <c r="MYD77" s="44"/>
      <c r="MYE77" s="44"/>
      <c r="MYF77" s="44"/>
      <c r="MYG77" s="44"/>
      <c r="MYH77" s="44"/>
      <c r="MYI77" s="44"/>
      <c r="MYJ77" s="44"/>
      <c r="MYK77" s="44"/>
      <c r="MYL77" s="44"/>
      <c r="MYM77" s="44"/>
      <c r="MYN77" s="44"/>
      <c r="MYO77" s="44"/>
      <c r="MYP77" s="44"/>
      <c r="MYQ77" s="44"/>
      <c r="MYR77" s="44"/>
      <c r="MYS77" s="44"/>
      <c r="MYT77" s="44"/>
      <c r="MYU77" s="44"/>
      <c r="MYV77" s="44"/>
      <c r="MYW77" s="44"/>
      <c r="MYX77" s="44"/>
      <c r="MYY77" s="44"/>
      <c r="MYZ77" s="44"/>
      <c r="MZA77" s="44"/>
      <c r="MZB77" s="44"/>
      <c r="MZC77" s="44"/>
      <c r="MZD77" s="44"/>
      <c r="MZE77" s="44"/>
      <c r="MZF77" s="44"/>
      <c r="MZG77" s="44"/>
      <c r="MZH77" s="44"/>
      <c r="MZI77" s="44"/>
      <c r="MZJ77" s="44"/>
      <c r="MZK77" s="44"/>
      <c r="MZL77" s="44"/>
      <c r="MZM77" s="44"/>
      <c r="MZN77" s="44"/>
      <c r="MZO77" s="44"/>
      <c r="MZP77" s="44"/>
      <c r="MZQ77" s="44"/>
      <c r="MZR77" s="44"/>
      <c r="MZS77" s="44"/>
      <c r="MZT77" s="44"/>
      <c r="MZU77" s="44"/>
      <c r="MZV77" s="44"/>
      <c r="MZW77" s="44"/>
      <c r="MZX77" s="44"/>
      <c r="MZY77" s="44"/>
      <c r="MZZ77" s="44"/>
      <c r="NAA77" s="44"/>
      <c r="NAB77" s="44"/>
      <c r="NAC77" s="44"/>
      <c r="NAD77" s="44"/>
      <c r="NAE77" s="44"/>
      <c r="NAF77" s="44"/>
      <c r="NAG77" s="44"/>
      <c r="NAH77" s="44"/>
      <c r="NAI77" s="44"/>
      <c r="NAJ77" s="44"/>
      <c r="NAK77" s="44"/>
      <c r="NAL77" s="44"/>
      <c r="NAM77" s="44"/>
      <c r="NAN77" s="44"/>
      <c r="NAO77" s="44"/>
      <c r="NAP77" s="44"/>
      <c r="NAQ77" s="44"/>
      <c r="NAR77" s="44"/>
      <c r="NAS77" s="44"/>
      <c r="NAT77" s="44"/>
      <c r="NAU77" s="44"/>
      <c r="NAV77" s="44"/>
      <c r="NAW77" s="44"/>
      <c r="NAX77" s="44"/>
      <c r="NAY77" s="44"/>
      <c r="NAZ77" s="44"/>
      <c r="NBA77" s="44"/>
      <c r="NBB77" s="44"/>
      <c r="NBC77" s="44"/>
      <c r="NBD77" s="44"/>
      <c r="NBE77" s="44"/>
      <c r="NBF77" s="44"/>
      <c r="NBG77" s="44"/>
      <c r="NBH77" s="44"/>
      <c r="NBI77" s="44"/>
      <c r="NBJ77" s="44"/>
      <c r="NBK77" s="44"/>
      <c r="NBL77" s="44"/>
      <c r="NBM77" s="44"/>
      <c r="NBN77" s="44"/>
      <c r="NBO77" s="44"/>
      <c r="NBP77" s="44"/>
      <c r="NBQ77" s="44"/>
      <c r="NBR77" s="44"/>
      <c r="NBS77" s="44"/>
      <c r="NBT77" s="44"/>
      <c r="NBU77" s="44"/>
      <c r="NBV77" s="44"/>
      <c r="NBW77" s="44"/>
      <c r="NBX77" s="44"/>
      <c r="NBY77" s="44"/>
      <c r="NBZ77" s="44"/>
      <c r="NCA77" s="44"/>
      <c r="NCB77" s="44"/>
      <c r="NCC77" s="44"/>
      <c r="NCD77" s="44"/>
      <c r="NCE77" s="44"/>
      <c r="NCF77" s="44"/>
      <c r="NCG77" s="44"/>
      <c r="NCH77" s="44"/>
      <c r="NCI77" s="44"/>
      <c r="NCJ77" s="44"/>
      <c r="NCK77" s="44"/>
      <c r="NCL77" s="44"/>
      <c r="NCM77" s="44"/>
      <c r="NCN77" s="44"/>
      <c r="NCO77" s="44"/>
      <c r="NCP77" s="44"/>
      <c r="NCQ77" s="44"/>
      <c r="NCR77" s="44"/>
      <c r="NCS77" s="44"/>
      <c r="NCT77" s="44"/>
      <c r="NCU77" s="44"/>
      <c r="NCV77" s="44"/>
      <c r="NCW77" s="44"/>
      <c r="NCX77" s="44"/>
      <c r="NCY77" s="44"/>
      <c r="NCZ77" s="44"/>
      <c r="NDA77" s="44"/>
      <c r="NDB77" s="44"/>
      <c r="NDC77" s="44"/>
      <c r="NDD77" s="44"/>
      <c r="NDE77" s="44"/>
      <c r="NDF77" s="44"/>
      <c r="NDG77" s="44"/>
      <c r="NDH77" s="44"/>
      <c r="NDI77" s="44"/>
      <c r="NDJ77" s="44"/>
      <c r="NDK77" s="44"/>
      <c r="NDL77" s="44"/>
      <c r="NDM77" s="44"/>
      <c r="NDN77" s="44"/>
      <c r="NDO77" s="44"/>
      <c r="NDP77" s="44"/>
      <c r="NDQ77" s="44"/>
      <c r="NDR77" s="44"/>
      <c r="NDS77" s="44"/>
      <c r="NDT77" s="44"/>
      <c r="NDU77" s="44"/>
      <c r="NDV77" s="44"/>
      <c r="NDW77" s="44"/>
      <c r="NDX77" s="44"/>
      <c r="NDY77" s="44"/>
      <c r="NDZ77" s="44"/>
      <c r="NEA77" s="44"/>
      <c r="NEB77" s="44"/>
      <c r="NEC77" s="44"/>
      <c r="NED77" s="44"/>
      <c r="NEE77" s="44"/>
      <c r="NEF77" s="44"/>
      <c r="NEG77" s="44"/>
      <c r="NEH77" s="44"/>
      <c r="NEI77" s="44"/>
      <c r="NEJ77" s="44"/>
      <c r="NEK77" s="44"/>
      <c r="NEL77" s="44"/>
      <c r="NEM77" s="44"/>
      <c r="NEN77" s="44"/>
      <c r="NEO77" s="44"/>
      <c r="NEP77" s="44"/>
      <c r="NEQ77" s="44"/>
      <c r="NER77" s="44"/>
      <c r="NES77" s="44"/>
      <c r="NET77" s="44"/>
      <c r="NEU77" s="44"/>
      <c r="NEV77" s="44"/>
      <c r="NEW77" s="44"/>
      <c r="NEX77" s="44"/>
      <c r="NEY77" s="44"/>
      <c r="NEZ77" s="44"/>
      <c r="NFA77" s="44"/>
      <c r="NFB77" s="44"/>
      <c r="NFC77" s="44"/>
      <c r="NFD77" s="44"/>
      <c r="NFE77" s="44"/>
      <c r="NFF77" s="44"/>
      <c r="NFG77" s="44"/>
      <c r="NFH77" s="44"/>
      <c r="NFI77" s="44"/>
      <c r="NFJ77" s="44"/>
      <c r="NFK77" s="44"/>
      <c r="NFL77" s="44"/>
      <c r="NFM77" s="44"/>
      <c r="NFN77" s="44"/>
      <c r="NFO77" s="44"/>
      <c r="NFP77" s="44"/>
      <c r="NFQ77" s="44"/>
      <c r="NFR77" s="44"/>
      <c r="NFS77" s="44"/>
      <c r="NFT77" s="44"/>
      <c r="NFU77" s="44"/>
      <c r="NFV77" s="44"/>
      <c r="NFW77" s="44"/>
      <c r="NFX77" s="44"/>
      <c r="NFY77" s="44"/>
      <c r="NFZ77" s="44"/>
      <c r="NGA77" s="44"/>
      <c r="NGB77" s="44"/>
      <c r="NGC77" s="44"/>
      <c r="NGD77" s="44"/>
      <c r="NGE77" s="44"/>
      <c r="NGF77" s="44"/>
      <c r="NGG77" s="44"/>
      <c r="NGH77" s="44"/>
      <c r="NGI77" s="44"/>
      <c r="NGJ77" s="44"/>
      <c r="NGK77" s="44"/>
      <c r="NGL77" s="44"/>
      <c r="NGM77" s="44"/>
      <c r="NGN77" s="44"/>
      <c r="NGO77" s="44"/>
      <c r="NGP77" s="44"/>
      <c r="NGQ77" s="44"/>
      <c r="NGR77" s="44"/>
      <c r="NGS77" s="44"/>
      <c r="NGT77" s="44"/>
      <c r="NGU77" s="44"/>
      <c r="NGV77" s="44"/>
      <c r="NGW77" s="44"/>
      <c r="NGX77" s="44"/>
      <c r="NGY77" s="44"/>
      <c r="NGZ77" s="44"/>
      <c r="NHA77" s="44"/>
      <c r="NHB77" s="44"/>
      <c r="NHC77" s="44"/>
      <c r="NHD77" s="44"/>
      <c r="NHE77" s="44"/>
      <c r="NHF77" s="44"/>
      <c r="NHG77" s="44"/>
      <c r="NHH77" s="44"/>
      <c r="NHI77" s="44"/>
      <c r="NHJ77" s="44"/>
      <c r="NHK77" s="44"/>
      <c r="NHL77" s="44"/>
      <c r="NHM77" s="44"/>
      <c r="NHN77" s="44"/>
      <c r="NHO77" s="44"/>
      <c r="NHP77" s="44"/>
      <c r="NHQ77" s="44"/>
      <c r="NHR77" s="44"/>
      <c r="NHS77" s="44"/>
      <c r="NHT77" s="44"/>
      <c r="NHU77" s="44"/>
      <c r="NHV77" s="44"/>
      <c r="NHW77" s="44"/>
      <c r="NHX77" s="44"/>
      <c r="NHY77" s="44"/>
      <c r="NHZ77" s="44"/>
      <c r="NIA77" s="44"/>
      <c r="NIB77" s="44"/>
      <c r="NIC77" s="44"/>
      <c r="NID77" s="44"/>
      <c r="NIE77" s="44"/>
      <c r="NIF77" s="44"/>
      <c r="NIG77" s="44"/>
      <c r="NIH77" s="44"/>
      <c r="NII77" s="44"/>
      <c r="NIJ77" s="44"/>
      <c r="NIK77" s="44"/>
      <c r="NIL77" s="44"/>
      <c r="NIM77" s="44"/>
      <c r="NIN77" s="44"/>
      <c r="NIO77" s="44"/>
      <c r="NIP77" s="44"/>
      <c r="NIQ77" s="44"/>
      <c r="NIR77" s="44"/>
      <c r="NIS77" s="44"/>
      <c r="NIT77" s="44"/>
      <c r="NIU77" s="44"/>
      <c r="NIV77" s="44"/>
      <c r="NIW77" s="44"/>
      <c r="NIX77" s="44"/>
      <c r="NIY77" s="44"/>
      <c r="NIZ77" s="44"/>
      <c r="NJA77" s="44"/>
      <c r="NJB77" s="44"/>
      <c r="NJC77" s="44"/>
      <c r="NJD77" s="44"/>
      <c r="NJE77" s="44"/>
      <c r="NJF77" s="44"/>
      <c r="NJG77" s="44"/>
      <c r="NJH77" s="44"/>
      <c r="NJI77" s="44"/>
      <c r="NJJ77" s="44"/>
      <c r="NJK77" s="44"/>
      <c r="NJL77" s="44"/>
      <c r="NJM77" s="44"/>
      <c r="NJN77" s="44"/>
      <c r="NJO77" s="44"/>
      <c r="NJP77" s="44"/>
      <c r="NJQ77" s="44"/>
      <c r="NJR77" s="44"/>
      <c r="NJS77" s="44"/>
      <c r="NJT77" s="44"/>
      <c r="NJU77" s="44"/>
      <c r="NJV77" s="44"/>
      <c r="NJW77" s="44"/>
      <c r="NJX77" s="44"/>
      <c r="NJY77" s="44"/>
      <c r="NJZ77" s="44"/>
      <c r="NKA77" s="44"/>
      <c r="NKB77" s="44"/>
      <c r="NKC77" s="44"/>
      <c r="NKD77" s="44"/>
      <c r="NKE77" s="44"/>
      <c r="NKF77" s="44"/>
      <c r="NKG77" s="44"/>
      <c r="NKH77" s="44"/>
      <c r="NKI77" s="44"/>
      <c r="NKJ77" s="44"/>
      <c r="NKK77" s="44"/>
      <c r="NKL77" s="44"/>
      <c r="NKM77" s="44"/>
      <c r="NKN77" s="44"/>
      <c r="NKO77" s="44"/>
      <c r="NKP77" s="44"/>
      <c r="NKQ77" s="44"/>
      <c r="NKR77" s="44"/>
      <c r="NKS77" s="44"/>
      <c r="NKT77" s="44"/>
      <c r="NKU77" s="44"/>
      <c r="NKV77" s="44"/>
      <c r="NKW77" s="44"/>
      <c r="NKX77" s="44"/>
      <c r="NKY77" s="44"/>
      <c r="NKZ77" s="44"/>
      <c r="NLA77" s="44"/>
      <c r="NLB77" s="44"/>
      <c r="NLC77" s="44"/>
      <c r="NLD77" s="44"/>
      <c r="NLE77" s="44"/>
      <c r="NLF77" s="44"/>
      <c r="NLG77" s="44"/>
      <c r="NLH77" s="44"/>
      <c r="NLI77" s="44"/>
      <c r="NLJ77" s="44"/>
      <c r="NLK77" s="44"/>
      <c r="NLL77" s="44"/>
      <c r="NLM77" s="44"/>
      <c r="NLN77" s="44"/>
      <c r="NLO77" s="44"/>
      <c r="NLP77" s="44"/>
      <c r="NLQ77" s="44"/>
      <c r="NLR77" s="44"/>
      <c r="NLS77" s="44"/>
      <c r="NLT77" s="44"/>
      <c r="NLU77" s="44"/>
      <c r="NLV77" s="44"/>
      <c r="NLW77" s="44"/>
      <c r="NLX77" s="44"/>
      <c r="NLY77" s="44"/>
      <c r="NLZ77" s="44"/>
      <c r="NMA77" s="44"/>
      <c r="NMB77" s="44"/>
      <c r="NMC77" s="44"/>
      <c r="NMD77" s="44"/>
      <c r="NME77" s="44"/>
      <c r="NMF77" s="44"/>
      <c r="NMG77" s="44"/>
      <c r="NMH77" s="44"/>
      <c r="NMI77" s="44"/>
      <c r="NMJ77" s="44"/>
      <c r="NMK77" s="44"/>
      <c r="NML77" s="44"/>
      <c r="NMM77" s="44"/>
      <c r="NMN77" s="44"/>
      <c r="NMO77" s="44"/>
      <c r="NMP77" s="44"/>
      <c r="NMQ77" s="44"/>
      <c r="NMR77" s="44"/>
      <c r="NMS77" s="44"/>
      <c r="NMT77" s="44"/>
      <c r="NMU77" s="44"/>
      <c r="NMV77" s="44"/>
      <c r="NMW77" s="44"/>
      <c r="NMX77" s="44"/>
      <c r="NMY77" s="44"/>
      <c r="NMZ77" s="44"/>
      <c r="NNA77" s="44"/>
      <c r="NNB77" s="44"/>
      <c r="NNC77" s="44"/>
      <c r="NND77" s="44"/>
      <c r="NNE77" s="44"/>
      <c r="NNF77" s="44"/>
      <c r="NNG77" s="44"/>
      <c r="NNH77" s="44"/>
      <c r="NNI77" s="44"/>
      <c r="NNJ77" s="44"/>
      <c r="NNK77" s="44"/>
      <c r="NNL77" s="44"/>
      <c r="NNM77" s="44"/>
      <c r="NNN77" s="44"/>
      <c r="NNO77" s="44"/>
      <c r="NNP77" s="44"/>
      <c r="NNQ77" s="44"/>
      <c r="NNR77" s="44"/>
      <c r="NNS77" s="44"/>
      <c r="NNT77" s="44"/>
      <c r="NNU77" s="44"/>
      <c r="NNV77" s="44"/>
      <c r="NNW77" s="44"/>
      <c r="NNX77" s="44"/>
      <c r="NNY77" s="44"/>
      <c r="NNZ77" s="44"/>
      <c r="NOA77" s="44"/>
      <c r="NOB77" s="44"/>
      <c r="NOC77" s="44"/>
      <c r="NOD77" s="44"/>
      <c r="NOE77" s="44"/>
      <c r="NOF77" s="44"/>
      <c r="NOG77" s="44"/>
      <c r="NOH77" s="44"/>
      <c r="NOI77" s="44"/>
      <c r="NOJ77" s="44"/>
      <c r="NOK77" s="44"/>
      <c r="NOL77" s="44"/>
      <c r="NOM77" s="44"/>
      <c r="NON77" s="44"/>
      <c r="NOO77" s="44"/>
      <c r="NOP77" s="44"/>
      <c r="NOQ77" s="44"/>
      <c r="NOR77" s="44"/>
      <c r="NOS77" s="44"/>
      <c r="NOT77" s="44"/>
      <c r="NOU77" s="44"/>
      <c r="NOV77" s="44"/>
      <c r="NOW77" s="44"/>
      <c r="NOX77" s="44"/>
      <c r="NOY77" s="44"/>
      <c r="NOZ77" s="44"/>
      <c r="NPA77" s="44"/>
      <c r="NPB77" s="44"/>
      <c r="NPC77" s="44"/>
      <c r="NPD77" s="44"/>
      <c r="NPE77" s="44"/>
      <c r="NPF77" s="44"/>
      <c r="NPG77" s="44"/>
      <c r="NPH77" s="44"/>
      <c r="NPI77" s="44"/>
      <c r="NPJ77" s="44"/>
      <c r="NPK77" s="44"/>
      <c r="NPL77" s="44"/>
      <c r="NPM77" s="44"/>
      <c r="NPN77" s="44"/>
      <c r="NPO77" s="44"/>
      <c r="NPP77" s="44"/>
      <c r="NPQ77" s="44"/>
      <c r="NPR77" s="44"/>
      <c r="NPS77" s="44"/>
      <c r="NPT77" s="44"/>
      <c r="NPU77" s="44"/>
      <c r="NPV77" s="44"/>
      <c r="NPW77" s="44"/>
      <c r="NPX77" s="44"/>
      <c r="NPY77" s="44"/>
      <c r="NPZ77" s="44"/>
      <c r="NQA77" s="44"/>
      <c r="NQB77" s="44"/>
      <c r="NQC77" s="44"/>
      <c r="NQD77" s="44"/>
      <c r="NQE77" s="44"/>
      <c r="NQF77" s="44"/>
      <c r="NQG77" s="44"/>
      <c r="NQH77" s="44"/>
      <c r="NQI77" s="44"/>
      <c r="NQJ77" s="44"/>
      <c r="NQK77" s="44"/>
      <c r="NQL77" s="44"/>
      <c r="NQM77" s="44"/>
      <c r="NQN77" s="44"/>
      <c r="NQO77" s="44"/>
      <c r="NQP77" s="44"/>
      <c r="NQQ77" s="44"/>
      <c r="NQR77" s="44"/>
      <c r="NQS77" s="44"/>
      <c r="NQT77" s="44"/>
      <c r="NQU77" s="44"/>
      <c r="NQV77" s="44"/>
      <c r="NQW77" s="44"/>
      <c r="NQX77" s="44"/>
      <c r="NQY77" s="44"/>
      <c r="NQZ77" s="44"/>
      <c r="NRA77" s="44"/>
      <c r="NRB77" s="44"/>
      <c r="NRC77" s="44"/>
      <c r="NRD77" s="44"/>
      <c r="NRE77" s="44"/>
      <c r="NRF77" s="44"/>
      <c r="NRG77" s="44"/>
      <c r="NRH77" s="44"/>
      <c r="NRI77" s="44"/>
      <c r="NRJ77" s="44"/>
      <c r="NRK77" s="44"/>
      <c r="NRL77" s="44"/>
      <c r="NRM77" s="44"/>
      <c r="NRN77" s="44"/>
      <c r="NRO77" s="44"/>
      <c r="NRP77" s="44"/>
      <c r="NRQ77" s="44"/>
      <c r="NRR77" s="44"/>
      <c r="NRS77" s="44"/>
      <c r="NRT77" s="44"/>
      <c r="NRU77" s="44"/>
      <c r="NRV77" s="44"/>
      <c r="NRW77" s="44"/>
      <c r="NRX77" s="44"/>
      <c r="NRY77" s="44"/>
      <c r="NRZ77" s="44"/>
      <c r="NSA77" s="44"/>
      <c r="NSB77" s="44"/>
      <c r="NSC77" s="44"/>
      <c r="NSD77" s="44"/>
      <c r="NSE77" s="44"/>
      <c r="NSF77" s="44"/>
      <c r="NSG77" s="44"/>
      <c r="NSH77" s="44"/>
      <c r="NSI77" s="44"/>
      <c r="NSJ77" s="44"/>
      <c r="NSK77" s="44"/>
      <c r="NSL77" s="44"/>
      <c r="NSM77" s="44"/>
      <c r="NSN77" s="44"/>
      <c r="NSO77" s="44"/>
      <c r="NSP77" s="44"/>
      <c r="NSQ77" s="44"/>
      <c r="NSR77" s="44"/>
      <c r="NSS77" s="44"/>
      <c r="NST77" s="44"/>
      <c r="NSU77" s="44"/>
      <c r="NSV77" s="44"/>
      <c r="NSW77" s="44"/>
      <c r="NSX77" s="44"/>
      <c r="NSY77" s="44"/>
      <c r="NSZ77" s="44"/>
      <c r="NTA77" s="44"/>
      <c r="NTB77" s="44"/>
      <c r="NTC77" s="44"/>
      <c r="NTD77" s="44"/>
      <c r="NTE77" s="44"/>
      <c r="NTF77" s="44"/>
      <c r="NTG77" s="44"/>
      <c r="NTH77" s="44"/>
      <c r="NTI77" s="44"/>
      <c r="NTJ77" s="44"/>
      <c r="NTK77" s="44"/>
      <c r="NTL77" s="44"/>
      <c r="NTM77" s="44"/>
      <c r="NTN77" s="44"/>
      <c r="NTO77" s="44"/>
      <c r="NTP77" s="44"/>
      <c r="NTQ77" s="44"/>
      <c r="NTR77" s="44"/>
      <c r="NTS77" s="44"/>
      <c r="NTT77" s="44"/>
      <c r="NTU77" s="44"/>
      <c r="NTV77" s="44"/>
      <c r="NTW77" s="44"/>
      <c r="NTX77" s="44"/>
      <c r="NTY77" s="44"/>
      <c r="NTZ77" s="44"/>
      <c r="NUA77" s="44"/>
      <c r="NUB77" s="44"/>
      <c r="NUC77" s="44"/>
      <c r="NUD77" s="44"/>
      <c r="NUE77" s="44"/>
      <c r="NUF77" s="44"/>
      <c r="NUG77" s="44"/>
      <c r="NUH77" s="44"/>
      <c r="NUI77" s="44"/>
      <c r="NUJ77" s="44"/>
      <c r="NUK77" s="44"/>
      <c r="NUL77" s="44"/>
      <c r="NUM77" s="44"/>
      <c r="NUN77" s="44"/>
      <c r="NUO77" s="44"/>
      <c r="NUP77" s="44"/>
      <c r="NUQ77" s="44"/>
      <c r="NUR77" s="44"/>
      <c r="NUS77" s="44"/>
      <c r="NUT77" s="44"/>
      <c r="NUU77" s="44"/>
      <c r="NUV77" s="44"/>
      <c r="NUW77" s="44"/>
      <c r="NUX77" s="44"/>
      <c r="NUY77" s="44"/>
      <c r="NUZ77" s="44"/>
      <c r="NVA77" s="44"/>
      <c r="NVB77" s="44"/>
      <c r="NVC77" s="44"/>
      <c r="NVD77" s="44"/>
      <c r="NVE77" s="44"/>
      <c r="NVF77" s="44"/>
      <c r="NVG77" s="44"/>
      <c r="NVH77" s="44"/>
      <c r="NVI77" s="44"/>
      <c r="NVJ77" s="44"/>
      <c r="NVK77" s="44"/>
      <c r="NVL77" s="44"/>
      <c r="NVM77" s="44"/>
      <c r="NVN77" s="44"/>
      <c r="NVO77" s="44"/>
      <c r="NVP77" s="44"/>
      <c r="NVQ77" s="44"/>
      <c r="NVR77" s="44"/>
      <c r="NVS77" s="44"/>
      <c r="NVT77" s="44"/>
      <c r="NVU77" s="44"/>
      <c r="NVV77" s="44"/>
      <c r="NVW77" s="44"/>
      <c r="NVX77" s="44"/>
      <c r="NVY77" s="44"/>
      <c r="NVZ77" s="44"/>
      <c r="NWA77" s="44"/>
      <c r="NWB77" s="44"/>
      <c r="NWC77" s="44"/>
      <c r="NWD77" s="44"/>
      <c r="NWE77" s="44"/>
      <c r="NWF77" s="44"/>
      <c r="NWG77" s="44"/>
      <c r="NWH77" s="44"/>
      <c r="NWI77" s="44"/>
      <c r="NWJ77" s="44"/>
      <c r="NWK77" s="44"/>
      <c r="NWL77" s="44"/>
      <c r="NWM77" s="44"/>
      <c r="NWN77" s="44"/>
      <c r="NWO77" s="44"/>
      <c r="NWP77" s="44"/>
      <c r="NWQ77" s="44"/>
      <c r="NWR77" s="44"/>
      <c r="NWS77" s="44"/>
      <c r="NWT77" s="44"/>
      <c r="NWU77" s="44"/>
      <c r="NWV77" s="44"/>
      <c r="NWW77" s="44"/>
      <c r="NWX77" s="44"/>
      <c r="NWY77" s="44"/>
      <c r="NWZ77" s="44"/>
      <c r="NXA77" s="44"/>
      <c r="NXB77" s="44"/>
      <c r="NXC77" s="44"/>
      <c r="NXD77" s="44"/>
      <c r="NXE77" s="44"/>
      <c r="NXF77" s="44"/>
      <c r="NXG77" s="44"/>
      <c r="NXH77" s="44"/>
      <c r="NXI77" s="44"/>
      <c r="NXJ77" s="44"/>
      <c r="NXK77" s="44"/>
      <c r="NXL77" s="44"/>
      <c r="NXM77" s="44"/>
      <c r="NXN77" s="44"/>
      <c r="NXO77" s="44"/>
      <c r="NXP77" s="44"/>
      <c r="NXQ77" s="44"/>
      <c r="NXR77" s="44"/>
      <c r="NXS77" s="44"/>
      <c r="NXT77" s="44"/>
      <c r="NXU77" s="44"/>
      <c r="NXV77" s="44"/>
      <c r="NXW77" s="44"/>
      <c r="NXX77" s="44"/>
      <c r="NXY77" s="44"/>
      <c r="NXZ77" s="44"/>
      <c r="NYA77" s="44"/>
      <c r="NYB77" s="44"/>
      <c r="NYC77" s="44"/>
      <c r="NYD77" s="44"/>
      <c r="NYE77" s="44"/>
      <c r="NYF77" s="44"/>
      <c r="NYG77" s="44"/>
      <c r="NYH77" s="44"/>
      <c r="NYI77" s="44"/>
      <c r="NYJ77" s="44"/>
      <c r="NYK77" s="44"/>
      <c r="NYL77" s="44"/>
      <c r="NYM77" s="44"/>
      <c r="NYN77" s="44"/>
      <c r="NYO77" s="44"/>
      <c r="NYP77" s="44"/>
      <c r="NYQ77" s="44"/>
      <c r="NYR77" s="44"/>
      <c r="NYS77" s="44"/>
      <c r="NYT77" s="44"/>
      <c r="NYU77" s="44"/>
      <c r="NYV77" s="44"/>
      <c r="NYW77" s="44"/>
      <c r="NYX77" s="44"/>
      <c r="NYY77" s="44"/>
      <c r="NYZ77" s="44"/>
      <c r="NZA77" s="44"/>
      <c r="NZB77" s="44"/>
      <c r="NZC77" s="44"/>
      <c r="NZD77" s="44"/>
      <c r="NZE77" s="44"/>
      <c r="NZF77" s="44"/>
      <c r="NZG77" s="44"/>
      <c r="NZH77" s="44"/>
      <c r="NZI77" s="44"/>
      <c r="NZJ77" s="44"/>
      <c r="NZK77" s="44"/>
      <c r="NZL77" s="44"/>
      <c r="NZM77" s="44"/>
      <c r="NZN77" s="44"/>
      <c r="NZO77" s="44"/>
      <c r="NZP77" s="44"/>
      <c r="NZQ77" s="44"/>
      <c r="NZR77" s="44"/>
      <c r="NZS77" s="44"/>
      <c r="NZT77" s="44"/>
      <c r="NZU77" s="44"/>
      <c r="NZV77" s="44"/>
      <c r="NZW77" s="44"/>
      <c r="NZX77" s="44"/>
      <c r="NZY77" s="44"/>
      <c r="NZZ77" s="44"/>
      <c r="OAA77" s="44"/>
      <c r="OAB77" s="44"/>
      <c r="OAC77" s="44"/>
      <c r="OAD77" s="44"/>
      <c r="OAE77" s="44"/>
      <c r="OAF77" s="44"/>
      <c r="OAG77" s="44"/>
      <c r="OAH77" s="44"/>
      <c r="OAI77" s="44"/>
      <c r="OAJ77" s="44"/>
      <c r="OAK77" s="44"/>
      <c r="OAL77" s="44"/>
      <c r="OAM77" s="44"/>
      <c r="OAN77" s="44"/>
      <c r="OAO77" s="44"/>
      <c r="OAP77" s="44"/>
      <c r="OAQ77" s="44"/>
      <c r="OAR77" s="44"/>
      <c r="OAS77" s="44"/>
      <c r="OAT77" s="44"/>
      <c r="OAU77" s="44"/>
      <c r="OAV77" s="44"/>
      <c r="OAW77" s="44"/>
      <c r="OAX77" s="44"/>
      <c r="OAY77" s="44"/>
      <c r="OAZ77" s="44"/>
      <c r="OBA77" s="44"/>
      <c r="OBB77" s="44"/>
      <c r="OBC77" s="44"/>
      <c r="OBD77" s="44"/>
      <c r="OBE77" s="44"/>
      <c r="OBF77" s="44"/>
      <c r="OBG77" s="44"/>
      <c r="OBH77" s="44"/>
      <c r="OBI77" s="44"/>
      <c r="OBJ77" s="44"/>
      <c r="OBK77" s="44"/>
      <c r="OBL77" s="44"/>
      <c r="OBM77" s="44"/>
      <c r="OBN77" s="44"/>
      <c r="OBO77" s="44"/>
      <c r="OBP77" s="44"/>
      <c r="OBQ77" s="44"/>
      <c r="OBR77" s="44"/>
      <c r="OBS77" s="44"/>
      <c r="OBT77" s="44"/>
      <c r="OBU77" s="44"/>
      <c r="OBV77" s="44"/>
      <c r="OBW77" s="44"/>
      <c r="OBX77" s="44"/>
      <c r="OBY77" s="44"/>
      <c r="OBZ77" s="44"/>
      <c r="OCA77" s="44"/>
      <c r="OCB77" s="44"/>
      <c r="OCC77" s="44"/>
      <c r="OCD77" s="44"/>
      <c r="OCE77" s="44"/>
      <c r="OCF77" s="44"/>
      <c r="OCG77" s="44"/>
      <c r="OCH77" s="44"/>
      <c r="OCI77" s="44"/>
      <c r="OCJ77" s="44"/>
      <c r="OCK77" s="44"/>
      <c r="OCL77" s="44"/>
      <c r="OCM77" s="44"/>
      <c r="OCN77" s="44"/>
      <c r="OCO77" s="44"/>
      <c r="OCP77" s="44"/>
      <c r="OCQ77" s="44"/>
      <c r="OCR77" s="44"/>
      <c r="OCS77" s="44"/>
      <c r="OCT77" s="44"/>
      <c r="OCU77" s="44"/>
      <c r="OCV77" s="44"/>
      <c r="OCW77" s="44"/>
      <c r="OCX77" s="44"/>
      <c r="OCY77" s="44"/>
      <c r="OCZ77" s="44"/>
      <c r="ODA77" s="44"/>
      <c r="ODB77" s="44"/>
      <c r="ODC77" s="44"/>
      <c r="ODD77" s="44"/>
      <c r="ODE77" s="44"/>
      <c r="ODF77" s="44"/>
      <c r="ODG77" s="44"/>
      <c r="ODH77" s="44"/>
      <c r="ODI77" s="44"/>
      <c r="ODJ77" s="44"/>
      <c r="ODK77" s="44"/>
      <c r="ODL77" s="44"/>
      <c r="ODM77" s="44"/>
      <c r="ODN77" s="44"/>
      <c r="ODO77" s="44"/>
      <c r="ODP77" s="44"/>
      <c r="ODQ77" s="44"/>
      <c r="ODR77" s="44"/>
      <c r="ODS77" s="44"/>
      <c r="ODT77" s="44"/>
      <c r="ODU77" s="44"/>
      <c r="ODV77" s="44"/>
      <c r="ODW77" s="44"/>
      <c r="ODX77" s="44"/>
      <c r="ODY77" s="44"/>
      <c r="ODZ77" s="44"/>
      <c r="OEA77" s="44"/>
      <c r="OEB77" s="44"/>
      <c r="OEC77" s="44"/>
      <c r="OED77" s="44"/>
      <c r="OEE77" s="44"/>
      <c r="OEF77" s="44"/>
      <c r="OEG77" s="44"/>
      <c r="OEH77" s="44"/>
      <c r="OEI77" s="44"/>
      <c r="OEJ77" s="44"/>
      <c r="OEK77" s="44"/>
      <c r="OEL77" s="44"/>
      <c r="OEM77" s="44"/>
      <c r="OEN77" s="44"/>
      <c r="OEO77" s="44"/>
      <c r="OEP77" s="44"/>
      <c r="OEQ77" s="44"/>
      <c r="OER77" s="44"/>
      <c r="OES77" s="44"/>
      <c r="OET77" s="44"/>
      <c r="OEU77" s="44"/>
      <c r="OEV77" s="44"/>
      <c r="OEW77" s="44"/>
      <c r="OEX77" s="44"/>
      <c r="OEY77" s="44"/>
      <c r="OEZ77" s="44"/>
      <c r="OFA77" s="44"/>
      <c r="OFB77" s="44"/>
      <c r="OFC77" s="44"/>
      <c r="OFD77" s="44"/>
      <c r="OFE77" s="44"/>
      <c r="OFF77" s="44"/>
      <c r="OFG77" s="44"/>
      <c r="OFH77" s="44"/>
      <c r="OFI77" s="44"/>
      <c r="OFJ77" s="44"/>
      <c r="OFK77" s="44"/>
      <c r="OFL77" s="44"/>
      <c r="OFM77" s="44"/>
      <c r="OFN77" s="44"/>
      <c r="OFO77" s="44"/>
      <c r="OFP77" s="44"/>
      <c r="OFQ77" s="44"/>
      <c r="OFR77" s="44"/>
      <c r="OFS77" s="44"/>
      <c r="OFT77" s="44"/>
      <c r="OFU77" s="44"/>
      <c r="OFV77" s="44"/>
      <c r="OFW77" s="44"/>
      <c r="OFX77" s="44"/>
      <c r="OFY77" s="44"/>
      <c r="OFZ77" s="44"/>
      <c r="OGA77" s="44"/>
      <c r="OGB77" s="44"/>
      <c r="OGC77" s="44"/>
      <c r="OGD77" s="44"/>
      <c r="OGE77" s="44"/>
      <c r="OGF77" s="44"/>
      <c r="OGG77" s="44"/>
      <c r="OGH77" s="44"/>
      <c r="OGI77" s="44"/>
      <c r="OGJ77" s="44"/>
      <c r="OGK77" s="44"/>
      <c r="OGL77" s="44"/>
      <c r="OGM77" s="44"/>
      <c r="OGN77" s="44"/>
      <c r="OGO77" s="44"/>
      <c r="OGP77" s="44"/>
      <c r="OGQ77" s="44"/>
      <c r="OGR77" s="44"/>
      <c r="OGS77" s="44"/>
      <c r="OGT77" s="44"/>
      <c r="OGU77" s="44"/>
      <c r="OGV77" s="44"/>
      <c r="OGW77" s="44"/>
      <c r="OGX77" s="44"/>
      <c r="OGY77" s="44"/>
      <c r="OGZ77" s="44"/>
      <c r="OHA77" s="44"/>
      <c r="OHB77" s="44"/>
      <c r="OHC77" s="44"/>
      <c r="OHD77" s="44"/>
      <c r="OHE77" s="44"/>
      <c r="OHF77" s="44"/>
      <c r="OHG77" s="44"/>
      <c r="OHH77" s="44"/>
      <c r="OHI77" s="44"/>
      <c r="OHJ77" s="44"/>
      <c r="OHK77" s="44"/>
      <c r="OHL77" s="44"/>
      <c r="OHM77" s="44"/>
      <c r="OHN77" s="44"/>
      <c r="OHO77" s="44"/>
      <c r="OHP77" s="44"/>
      <c r="OHQ77" s="44"/>
      <c r="OHR77" s="44"/>
      <c r="OHS77" s="44"/>
      <c r="OHT77" s="44"/>
      <c r="OHU77" s="44"/>
      <c r="OHV77" s="44"/>
      <c r="OHW77" s="44"/>
      <c r="OHX77" s="44"/>
      <c r="OHY77" s="44"/>
      <c r="OHZ77" s="44"/>
      <c r="OIA77" s="44"/>
      <c r="OIB77" s="44"/>
      <c r="OIC77" s="44"/>
      <c r="OID77" s="44"/>
      <c r="OIE77" s="44"/>
      <c r="OIF77" s="44"/>
      <c r="OIG77" s="44"/>
      <c r="OIH77" s="44"/>
      <c r="OII77" s="44"/>
      <c r="OIJ77" s="44"/>
      <c r="OIK77" s="44"/>
      <c r="OIL77" s="44"/>
      <c r="OIM77" s="44"/>
      <c r="OIN77" s="44"/>
      <c r="OIO77" s="44"/>
      <c r="OIP77" s="44"/>
      <c r="OIQ77" s="44"/>
      <c r="OIR77" s="44"/>
      <c r="OIS77" s="44"/>
      <c r="OIT77" s="44"/>
      <c r="OIU77" s="44"/>
      <c r="OIV77" s="44"/>
      <c r="OIW77" s="44"/>
      <c r="OIX77" s="44"/>
      <c r="OIY77" s="44"/>
      <c r="OIZ77" s="44"/>
      <c r="OJA77" s="44"/>
      <c r="OJB77" s="44"/>
      <c r="OJC77" s="44"/>
      <c r="OJD77" s="44"/>
      <c r="OJE77" s="44"/>
      <c r="OJF77" s="44"/>
      <c r="OJG77" s="44"/>
      <c r="OJH77" s="44"/>
      <c r="OJI77" s="44"/>
      <c r="OJJ77" s="44"/>
      <c r="OJK77" s="44"/>
      <c r="OJL77" s="44"/>
      <c r="OJM77" s="44"/>
      <c r="OJN77" s="44"/>
      <c r="OJO77" s="44"/>
      <c r="OJP77" s="44"/>
      <c r="OJQ77" s="44"/>
      <c r="OJR77" s="44"/>
      <c r="OJS77" s="44"/>
      <c r="OJT77" s="44"/>
      <c r="OJU77" s="44"/>
      <c r="OJV77" s="44"/>
      <c r="OJW77" s="44"/>
      <c r="OJX77" s="44"/>
      <c r="OJY77" s="44"/>
      <c r="OJZ77" s="44"/>
      <c r="OKA77" s="44"/>
      <c r="OKB77" s="44"/>
      <c r="OKC77" s="44"/>
      <c r="OKD77" s="44"/>
      <c r="OKE77" s="44"/>
      <c r="OKF77" s="44"/>
      <c r="OKG77" s="44"/>
      <c r="OKH77" s="44"/>
      <c r="OKI77" s="44"/>
      <c r="OKJ77" s="44"/>
      <c r="OKK77" s="44"/>
      <c r="OKL77" s="44"/>
      <c r="OKM77" s="44"/>
      <c r="OKN77" s="44"/>
      <c r="OKO77" s="44"/>
      <c r="OKP77" s="44"/>
      <c r="OKQ77" s="44"/>
      <c r="OKR77" s="44"/>
      <c r="OKS77" s="44"/>
      <c r="OKT77" s="44"/>
      <c r="OKU77" s="44"/>
      <c r="OKV77" s="44"/>
      <c r="OKW77" s="44"/>
      <c r="OKX77" s="44"/>
      <c r="OKY77" s="44"/>
      <c r="OKZ77" s="44"/>
      <c r="OLA77" s="44"/>
      <c r="OLB77" s="44"/>
      <c r="OLC77" s="44"/>
      <c r="OLD77" s="44"/>
      <c r="OLE77" s="44"/>
      <c r="OLF77" s="44"/>
      <c r="OLG77" s="44"/>
      <c r="OLH77" s="44"/>
      <c r="OLI77" s="44"/>
      <c r="OLJ77" s="44"/>
      <c r="OLK77" s="44"/>
      <c r="OLL77" s="44"/>
      <c r="OLM77" s="44"/>
      <c r="OLN77" s="44"/>
      <c r="OLO77" s="44"/>
      <c r="OLP77" s="44"/>
      <c r="OLQ77" s="44"/>
      <c r="OLR77" s="44"/>
      <c r="OLS77" s="44"/>
      <c r="OLT77" s="44"/>
      <c r="OLU77" s="44"/>
      <c r="OLV77" s="44"/>
      <c r="OLW77" s="44"/>
      <c r="OLX77" s="44"/>
      <c r="OLY77" s="44"/>
      <c r="OLZ77" s="44"/>
      <c r="OMA77" s="44"/>
      <c r="OMB77" s="44"/>
      <c r="OMC77" s="44"/>
      <c r="OMD77" s="44"/>
      <c r="OME77" s="44"/>
      <c r="OMF77" s="44"/>
      <c r="OMG77" s="44"/>
      <c r="OMH77" s="44"/>
      <c r="OMI77" s="44"/>
      <c r="OMJ77" s="44"/>
      <c r="OMK77" s="44"/>
      <c r="OML77" s="44"/>
      <c r="OMM77" s="44"/>
      <c r="OMN77" s="44"/>
      <c r="OMO77" s="44"/>
      <c r="OMP77" s="44"/>
      <c r="OMQ77" s="44"/>
      <c r="OMR77" s="44"/>
      <c r="OMS77" s="44"/>
      <c r="OMT77" s="44"/>
      <c r="OMU77" s="44"/>
      <c r="OMV77" s="44"/>
      <c r="OMW77" s="44"/>
      <c r="OMX77" s="44"/>
      <c r="OMY77" s="44"/>
      <c r="OMZ77" s="44"/>
      <c r="ONA77" s="44"/>
      <c r="ONB77" s="44"/>
      <c r="ONC77" s="44"/>
      <c r="OND77" s="44"/>
      <c r="ONE77" s="44"/>
      <c r="ONF77" s="44"/>
      <c r="ONG77" s="44"/>
      <c r="ONH77" s="44"/>
      <c r="ONI77" s="44"/>
      <c r="ONJ77" s="44"/>
      <c r="ONK77" s="44"/>
      <c r="ONL77" s="44"/>
      <c r="ONM77" s="44"/>
      <c r="ONN77" s="44"/>
      <c r="ONO77" s="44"/>
      <c r="ONP77" s="44"/>
      <c r="ONQ77" s="44"/>
      <c r="ONR77" s="44"/>
      <c r="ONS77" s="44"/>
      <c r="ONT77" s="44"/>
      <c r="ONU77" s="44"/>
      <c r="ONV77" s="44"/>
      <c r="ONW77" s="44"/>
      <c r="ONX77" s="44"/>
      <c r="ONY77" s="44"/>
      <c r="ONZ77" s="44"/>
      <c r="OOA77" s="44"/>
      <c r="OOB77" s="44"/>
      <c r="OOC77" s="44"/>
      <c r="OOD77" s="44"/>
      <c r="OOE77" s="44"/>
      <c r="OOF77" s="44"/>
      <c r="OOG77" s="44"/>
      <c r="OOH77" s="44"/>
      <c r="OOI77" s="44"/>
      <c r="OOJ77" s="44"/>
      <c r="OOK77" s="44"/>
      <c r="OOL77" s="44"/>
      <c r="OOM77" s="44"/>
      <c r="OON77" s="44"/>
      <c r="OOO77" s="44"/>
      <c r="OOP77" s="44"/>
      <c r="OOQ77" s="44"/>
      <c r="OOR77" s="44"/>
      <c r="OOS77" s="44"/>
      <c r="OOT77" s="44"/>
      <c r="OOU77" s="44"/>
      <c r="OOV77" s="44"/>
      <c r="OOW77" s="44"/>
      <c r="OOX77" s="44"/>
      <c r="OOY77" s="44"/>
      <c r="OOZ77" s="44"/>
      <c r="OPA77" s="44"/>
      <c r="OPB77" s="44"/>
      <c r="OPC77" s="44"/>
      <c r="OPD77" s="44"/>
      <c r="OPE77" s="44"/>
      <c r="OPF77" s="44"/>
      <c r="OPG77" s="44"/>
      <c r="OPH77" s="44"/>
      <c r="OPI77" s="44"/>
      <c r="OPJ77" s="44"/>
      <c r="OPK77" s="44"/>
      <c r="OPL77" s="44"/>
      <c r="OPM77" s="44"/>
      <c r="OPN77" s="44"/>
      <c r="OPO77" s="44"/>
      <c r="OPP77" s="44"/>
      <c r="OPQ77" s="44"/>
      <c r="OPR77" s="44"/>
      <c r="OPS77" s="44"/>
      <c r="OPT77" s="44"/>
      <c r="OPU77" s="44"/>
      <c r="OPV77" s="44"/>
      <c r="OPW77" s="44"/>
      <c r="OPX77" s="44"/>
      <c r="OPY77" s="44"/>
      <c r="OPZ77" s="44"/>
      <c r="OQA77" s="44"/>
      <c r="OQB77" s="44"/>
      <c r="OQC77" s="44"/>
      <c r="OQD77" s="44"/>
      <c r="OQE77" s="44"/>
      <c r="OQF77" s="44"/>
      <c r="OQG77" s="44"/>
      <c r="OQH77" s="44"/>
      <c r="OQI77" s="44"/>
      <c r="OQJ77" s="44"/>
      <c r="OQK77" s="44"/>
      <c r="OQL77" s="44"/>
      <c r="OQM77" s="44"/>
      <c r="OQN77" s="44"/>
      <c r="OQO77" s="44"/>
      <c r="OQP77" s="44"/>
      <c r="OQQ77" s="44"/>
      <c r="OQR77" s="44"/>
      <c r="OQS77" s="44"/>
      <c r="OQT77" s="44"/>
      <c r="OQU77" s="44"/>
      <c r="OQV77" s="44"/>
      <c r="OQW77" s="44"/>
      <c r="OQX77" s="44"/>
      <c r="OQY77" s="44"/>
      <c r="OQZ77" s="44"/>
      <c r="ORA77" s="44"/>
      <c r="ORB77" s="44"/>
      <c r="ORC77" s="44"/>
      <c r="ORD77" s="44"/>
      <c r="ORE77" s="44"/>
      <c r="ORF77" s="44"/>
      <c r="ORG77" s="44"/>
      <c r="ORH77" s="44"/>
      <c r="ORI77" s="44"/>
      <c r="ORJ77" s="44"/>
      <c r="ORK77" s="44"/>
      <c r="ORL77" s="44"/>
      <c r="ORM77" s="44"/>
      <c r="ORN77" s="44"/>
      <c r="ORO77" s="44"/>
      <c r="ORP77" s="44"/>
      <c r="ORQ77" s="44"/>
      <c r="ORR77" s="44"/>
      <c r="ORS77" s="44"/>
      <c r="ORT77" s="44"/>
      <c r="ORU77" s="44"/>
      <c r="ORV77" s="44"/>
      <c r="ORW77" s="44"/>
      <c r="ORX77" s="44"/>
      <c r="ORY77" s="44"/>
      <c r="ORZ77" s="44"/>
      <c r="OSA77" s="44"/>
      <c r="OSB77" s="44"/>
      <c r="OSC77" s="44"/>
      <c r="OSD77" s="44"/>
      <c r="OSE77" s="44"/>
      <c r="OSF77" s="44"/>
      <c r="OSG77" s="44"/>
      <c r="OSH77" s="44"/>
      <c r="OSI77" s="44"/>
      <c r="OSJ77" s="44"/>
      <c r="OSK77" s="44"/>
      <c r="OSL77" s="44"/>
      <c r="OSM77" s="44"/>
      <c r="OSN77" s="44"/>
      <c r="OSO77" s="44"/>
      <c r="OSP77" s="44"/>
      <c r="OSQ77" s="44"/>
      <c r="OSR77" s="44"/>
      <c r="OSS77" s="44"/>
      <c r="OST77" s="44"/>
      <c r="OSU77" s="44"/>
      <c r="OSV77" s="44"/>
      <c r="OSW77" s="44"/>
      <c r="OSX77" s="44"/>
      <c r="OSY77" s="44"/>
      <c r="OSZ77" s="44"/>
      <c r="OTA77" s="44"/>
      <c r="OTB77" s="44"/>
      <c r="OTC77" s="44"/>
      <c r="OTD77" s="44"/>
      <c r="OTE77" s="44"/>
      <c r="OTF77" s="44"/>
      <c r="OTG77" s="44"/>
      <c r="OTH77" s="44"/>
      <c r="OTI77" s="44"/>
      <c r="OTJ77" s="44"/>
      <c r="OTK77" s="44"/>
      <c r="OTL77" s="44"/>
      <c r="OTM77" s="44"/>
      <c r="OTN77" s="44"/>
      <c r="OTO77" s="44"/>
      <c r="OTP77" s="44"/>
      <c r="OTQ77" s="44"/>
      <c r="OTR77" s="44"/>
      <c r="OTS77" s="44"/>
      <c r="OTT77" s="44"/>
      <c r="OTU77" s="44"/>
      <c r="OTV77" s="44"/>
      <c r="OTW77" s="44"/>
      <c r="OTX77" s="44"/>
      <c r="OTY77" s="44"/>
      <c r="OTZ77" s="44"/>
      <c r="OUA77" s="44"/>
      <c r="OUB77" s="44"/>
      <c r="OUC77" s="44"/>
      <c r="OUD77" s="44"/>
      <c r="OUE77" s="44"/>
      <c r="OUF77" s="44"/>
      <c r="OUG77" s="44"/>
      <c r="OUH77" s="44"/>
      <c r="OUI77" s="44"/>
      <c r="OUJ77" s="44"/>
      <c r="OUK77" s="44"/>
      <c r="OUL77" s="44"/>
      <c r="OUM77" s="44"/>
      <c r="OUN77" s="44"/>
      <c r="OUO77" s="44"/>
      <c r="OUP77" s="44"/>
      <c r="OUQ77" s="44"/>
      <c r="OUR77" s="44"/>
      <c r="OUS77" s="44"/>
      <c r="OUT77" s="44"/>
      <c r="OUU77" s="44"/>
      <c r="OUV77" s="44"/>
      <c r="OUW77" s="44"/>
      <c r="OUX77" s="44"/>
      <c r="OUY77" s="44"/>
      <c r="OUZ77" s="44"/>
      <c r="OVA77" s="44"/>
      <c r="OVB77" s="44"/>
      <c r="OVC77" s="44"/>
      <c r="OVD77" s="44"/>
      <c r="OVE77" s="44"/>
      <c r="OVF77" s="44"/>
      <c r="OVG77" s="44"/>
      <c r="OVH77" s="44"/>
      <c r="OVI77" s="44"/>
      <c r="OVJ77" s="44"/>
      <c r="OVK77" s="44"/>
      <c r="OVL77" s="44"/>
      <c r="OVM77" s="44"/>
      <c r="OVN77" s="44"/>
      <c r="OVO77" s="44"/>
      <c r="OVP77" s="44"/>
      <c r="OVQ77" s="44"/>
      <c r="OVR77" s="44"/>
      <c r="OVS77" s="44"/>
      <c r="OVT77" s="44"/>
      <c r="OVU77" s="44"/>
      <c r="OVV77" s="44"/>
      <c r="OVW77" s="44"/>
      <c r="OVX77" s="44"/>
      <c r="OVY77" s="44"/>
      <c r="OVZ77" s="44"/>
      <c r="OWA77" s="44"/>
      <c r="OWB77" s="44"/>
      <c r="OWC77" s="44"/>
      <c r="OWD77" s="44"/>
      <c r="OWE77" s="44"/>
      <c r="OWF77" s="44"/>
      <c r="OWG77" s="44"/>
      <c r="OWH77" s="44"/>
      <c r="OWI77" s="44"/>
      <c r="OWJ77" s="44"/>
      <c r="OWK77" s="44"/>
      <c r="OWL77" s="44"/>
      <c r="OWM77" s="44"/>
      <c r="OWN77" s="44"/>
      <c r="OWO77" s="44"/>
      <c r="OWP77" s="44"/>
      <c r="OWQ77" s="44"/>
      <c r="OWR77" s="44"/>
      <c r="OWS77" s="44"/>
      <c r="OWT77" s="44"/>
      <c r="OWU77" s="44"/>
      <c r="OWV77" s="44"/>
      <c r="OWW77" s="44"/>
      <c r="OWX77" s="44"/>
      <c r="OWY77" s="44"/>
      <c r="OWZ77" s="44"/>
      <c r="OXA77" s="44"/>
      <c r="OXB77" s="44"/>
      <c r="OXC77" s="44"/>
      <c r="OXD77" s="44"/>
      <c r="OXE77" s="44"/>
      <c r="OXF77" s="44"/>
      <c r="OXG77" s="44"/>
      <c r="OXH77" s="44"/>
      <c r="OXI77" s="44"/>
      <c r="OXJ77" s="44"/>
      <c r="OXK77" s="44"/>
      <c r="OXL77" s="44"/>
      <c r="OXM77" s="44"/>
      <c r="OXN77" s="44"/>
      <c r="OXO77" s="44"/>
      <c r="OXP77" s="44"/>
      <c r="OXQ77" s="44"/>
      <c r="OXR77" s="44"/>
      <c r="OXS77" s="44"/>
      <c r="OXT77" s="44"/>
      <c r="OXU77" s="44"/>
      <c r="OXV77" s="44"/>
      <c r="OXW77" s="44"/>
      <c r="OXX77" s="44"/>
      <c r="OXY77" s="44"/>
      <c r="OXZ77" s="44"/>
      <c r="OYA77" s="44"/>
      <c r="OYB77" s="44"/>
      <c r="OYC77" s="44"/>
      <c r="OYD77" s="44"/>
      <c r="OYE77" s="44"/>
      <c r="OYF77" s="44"/>
      <c r="OYG77" s="44"/>
      <c r="OYH77" s="44"/>
      <c r="OYI77" s="44"/>
      <c r="OYJ77" s="44"/>
      <c r="OYK77" s="44"/>
      <c r="OYL77" s="44"/>
      <c r="OYM77" s="44"/>
      <c r="OYN77" s="44"/>
      <c r="OYO77" s="44"/>
      <c r="OYP77" s="44"/>
      <c r="OYQ77" s="44"/>
      <c r="OYR77" s="44"/>
      <c r="OYS77" s="44"/>
      <c r="OYT77" s="44"/>
      <c r="OYU77" s="44"/>
      <c r="OYV77" s="44"/>
      <c r="OYW77" s="44"/>
      <c r="OYX77" s="44"/>
      <c r="OYY77" s="44"/>
      <c r="OYZ77" s="44"/>
      <c r="OZA77" s="44"/>
      <c r="OZB77" s="44"/>
      <c r="OZC77" s="44"/>
      <c r="OZD77" s="44"/>
      <c r="OZE77" s="44"/>
      <c r="OZF77" s="44"/>
      <c r="OZG77" s="44"/>
      <c r="OZH77" s="44"/>
      <c r="OZI77" s="44"/>
      <c r="OZJ77" s="44"/>
      <c r="OZK77" s="44"/>
      <c r="OZL77" s="44"/>
      <c r="OZM77" s="44"/>
      <c r="OZN77" s="44"/>
      <c r="OZO77" s="44"/>
      <c r="OZP77" s="44"/>
      <c r="OZQ77" s="44"/>
      <c r="OZR77" s="44"/>
      <c r="OZS77" s="44"/>
      <c r="OZT77" s="44"/>
      <c r="OZU77" s="44"/>
      <c r="OZV77" s="44"/>
      <c r="OZW77" s="44"/>
      <c r="OZX77" s="44"/>
      <c r="OZY77" s="44"/>
      <c r="OZZ77" s="44"/>
      <c r="PAA77" s="44"/>
      <c r="PAB77" s="44"/>
      <c r="PAC77" s="44"/>
      <c r="PAD77" s="44"/>
      <c r="PAE77" s="44"/>
      <c r="PAF77" s="44"/>
      <c r="PAG77" s="44"/>
      <c r="PAH77" s="44"/>
      <c r="PAI77" s="44"/>
      <c r="PAJ77" s="44"/>
      <c r="PAK77" s="44"/>
      <c r="PAL77" s="44"/>
      <c r="PAM77" s="44"/>
      <c r="PAN77" s="44"/>
      <c r="PAO77" s="44"/>
      <c r="PAP77" s="44"/>
      <c r="PAQ77" s="44"/>
      <c r="PAR77" s="44"/>
      <c r="PAS77" s="44"/>
      <c r="PAT77" s="44"/>
      <c r="PAU77" s="44"/>
      <c r="PAV77" s="44"/>
      <c r="PAW77" s="44"/>
      <c r="PAX77" s="44"/>
      <c r="PAY77" s="44"/>
      <c r="PAZ77" s="44"/>
      <c r="PBA77" s="44"/>
      <c r="PBB77" s="44"/>
      <c r="PBC77" s="44"/>
      <c r="PBD77" s="44"/>
      <c r="PBE77" s="44"/>
      <c r="PBF77" s="44"/>
      <c r="PBG77" s="44"/>
      <c r="PBH77" s="44"/>
      <c r="PBI77" s="44"/>
      <c r="PBJ77" s="44"/>
      <c r="PBK77" s="44"/>
      <c r="PBL77" s="44"/>
      <c r="PBM77" s="44"/>
      <c r="PBN77" s="44"/>
      <c r="PBO77" s="44"/>
      <c r="PBP77" s="44"/>
      <c r="PBQ77" s="44"/>
      <c r="PBR77" s="44"/>
      <c r="PBS77" s="44"/>
      <c r="PBT77" s="44"/>
      <c r="PBU77" s="44"/>
      <c r="PBV77" s="44"/>
      <c r="PBW77" s="44"/>
      <c r="PBX77" s="44"/>
      <c r="PBY77" s="44"/>
      <c r="PBZ77" s="44"/>
      <c r="PCA77" s="44"/>
      <c r="PCB77" s="44"/>
      <c r="PCC77" s="44"/>
      <c r="PCD77" s="44"/>
      <c r="PCE77" s="44"/>
      <c r="PCF77" s="44"/>
      <c r="PCG77" s="44"/>
      <c r="PCH77" s="44"/>
      <c r="PCI77" s="44"/>
      <c r="PCJ77" s="44"/>
      <c r="PCK77" s="44"/>
      <c r="PCL77" s="44"/>
      <c r="PCM77" s="44"/>
      <c r="PCN77" s="44"/>
      <c r="PCO77" s="44"/>
      <c r="PCP77" s="44"/>
      <c r="PCQ77" s="44"/>
      <c r="PCR77" s="44"/>
      <c r="PCS77" s="44"/>
      <c r="PCT77" s="44"/>
      <c r="PCU77" s="44"/>
      <c r="PCV77" s="44"/>
      <c r="PCW77" s="44"/>
      <c r="PCX77" s="44"/>
      <c r="PCY77" s="44"/>
      <c r="PCZ77" s="44"/>
      <c r="PDA77" s="44"/>
      <c r="PDB77" s="44"/>
      <c r="PDC77" s="44"/>
      <c r="PDD77" s="44"/>
      <c r="PDE77" s="44"/>
      <c r="PDF77" s="44"/>
      <c r="PDG77" s="44"/>
      <c r="PDH77" s="44"/>
      <c r="PDI77" s="44"/>
      <c r="PDJ77" s="44"/>
      <c r="PDK77" s="44"/>
      <c r="PDL77" s="44"/>
      <c r="PDM77" s="44"/>
      <c r="PDN77" s="44"/>
      <c r="PDO77" s="44"/>
      <c r="PDP77" s="44"/>
      <c r="PDQ77" s="44"/>
      <c r="PDR77" s="44"/>
      <c r="PDS77" s="44"/>
      <c r="PDT77" s="44"/>
      <c r="PDU77" s="44"/>
      <c r="PDV77" s="44"/>
      <c r="PDW77" s="44"/>
      <c r="PDX77" s="44"/>
      <c r="PDY77" s="44"/>
      <c r="PDZ77" s="44"/>
      <c r="PEA77" s="44"/>
      <c r="PEB77" s="44"/>
      <c r="PEC77" s="44"/>
      <c r="PED77" s="44"/>
      <c r="PEE77" s="44"/>
      <c r="PEF77" s="44"/>
      <c r="PEG77" s="44"/>
      <c r="PEH77" s="44"/>
      <c r="PEI77" s="44"/>
      <c r="PEJ77" s="44"/>
      <c r="PEK77" s="44"/>
      <c r="PEL77" s="44"/>
      <c r="PEM77" s="44"/>
      <c r="PEN77" s="44"/>
      <c r="PEO77" s="44"/>
      <c r="PEP77" s="44"/>
      <c r="PEQ77" s="44"/>
      <c r="PER77" s="44"/>
      <c r="PES77" s="44"/>
      <c r="PET77" s="44"/>
      <c r="PEU77" s="44"/>
      <c r="PEV77" s="44"/>
      <c r="PEW77" s="44"/>
      <c r="PEX77" s="44"/>
      <c r="PEY77" s="44"/>
      <c r="PEZ77" s="44"/>
      <c r="PFA77" s="44"/>
      <c r="PFB77" s="44"/>
      <c r="PFC77" s="44"/>
      <c r="PFD77" s="44"/>
      <c r="PFE77" s="44"/>
      <c r="PFF77" s="44"/>
      <c r="PFG77" s="44"/>
      <c r="PFH77" s="44"/>
      <c r="PFI77" s="44"/>
      <c r="PFJ77" s="44"/>
      <c r="PFK77" s="44"/>
      <c r="PFL77" s="44"/>
      <c r="PFM77" s="44"/>
      <c r="PFN77" s="44"/>
      <c r="PFO77" s="44"/>
      <c r="PFP77" s="44"/>
      <c r="PFQ77" s="44"/>
      <c r="PFR77" s="44"/>
      <c r="PFS77" s="44"/>
      <c r="PFT77" s="44"/>
      <c r="PFU77" s="44"/>
      <c r="PFV77" s="44"/>
      <c r="PFW77" s="44"/>
      <c r="PFX77" s="44"/>
      <c r="PFY77" s="44"/>
      <c r="PFZ77" s="44"/>
      <c r="PGA77" s="44"/>
      <c r="PGB77" s="44"/>
      <c r="PGC77" s="44"/>
      <c r="PGD77" s="44"/>
      <c r="PGE77" s="44"/>
      <c r="PGF77" s="44"/>
      <c r="PGG77" s="44"/>
      <c r="PGH77" s="44"/>
      <c r="PGI77" s="44"/>
      <c r="PGJ77" s="44"/>
      <c r="PGK77" s="44"/>
      <c r="PGL77" s="44"/>
      <c r="PGM77" s="44"/>
      <c r="PGN77" s="44"/>
      <c r="PGO77" s="44"/>
      <c r="PGP77" s="44"/>
      <c r="PGQ77" s="44"/>
      <c r="PGR77" s="44"/>
      <c r="PGS77" s="44"/>
      <c r="PGT77" s="44"/>
      <c r="PGU77" s="44"/>
      <c r="PGV77" s="44"/>
      <c r="PGW77" s="44"/>
      <c r="PGX77" s="44"/>
      <c r="PGY77" s="44"/>
      <c r="PGZ77" s="44"/>
      <c r="PHA77" s="44"/>
      <c r="PHB77" s="44"/>
      <c r="PHC77" s="44"/>
      <c r="PHD77" s="44"/>
      <c r="PHE77" s="44"/>
      <c r="PHF77" s="44"/>
      <c r="PHG77" s="44"/>
      <c r="PHH77" s="44"/>
      <c r="PHI77" s="44"/>
      <c r="PHJ77" s="44"/>
      <c r="PHK77" s="44"/>
      <c r="PHL77" s="44"/>
      <c r="PHM77" s="44"/>
      <c r="PHN77" s="44"/>
      <c r="PHO77" s="44"/>
      <c r="PHP77" s="44"/>
      <c r="PHQ77" s="44"/>
      <c r="PHR77" s="44"/>
      <c r="PHS77" s="44"/>
      <c r="PHT77" s="44"/>
      <c r="PHU77" s="44"/>
      <c r="PHV77" s="44"/>
      <c r="PHW77" s="44"/>
      <c r="PHX77" s="44"/>
      <c r="PHY77" s="44"/>
      <c r="PHZ77" s="44"/>
      <c r="PIA77" s="44"/>
      <c r="PIB77" s="44"/>
      <c r="PIC77" s="44"/>
      <c r="PID77" s="44"/>
      <c r="PIE77" s="44"/>
      <c r="PIF77" s="44"/>
      <c r="PIG77" s="44"/>
      <c r="PIH77" s="44"/>
      <c r="PII77" s="44"/>
      <c r="PIJ77" s="44"/>
      <c r="PIK77" s="44"/>
      <c r="PIL77" s="44"/>
      <c r="PIM77" s="44"/>
      <c r="PIN77" s="44"/>
      <c r="PIO77" s="44"/>
      <c r="PIP77" s="44"/>
      <c r="PIQ77" s="44"/>
      <c r="PIR77" s="44"/>
      <c r="PIS77" s="44"/>
      <c r="PIT77" s="44"/>
      <c r="PIU77" s="44"/>
      <c r="PIV77" s="44"/>
      <c r="PIW77" s="44"/>
      <c r="PIX77" s="44"/>
      <c r="PIY77" s="44"/>
      <c r="PIZ77" s="44"/>
      <c r="PJA77" s="44"/>
      <c r="PJB77" s="44"/>
      <c r="PJC77" s="44"/>
      <c r="PJD77" s="44"/>
      <c r="PJE77" s="44"/>
      <c r="PJF77" s="44"/>
      <c r="PJG77" s="44"/>
      <c r="PJH77" s="44"/>
      <c r="PJI77" s="44"/>
      <c r="PJJ77" s="44"/>
      <c r="PJK77" s="44"/>
      <c r="PJL77" s="44"/>
      <c r="PJM77" s="44"/>
      <c r="PJN77" s="44"/>
      <c r="PJO77" s="44"/>
      <c r="PJP77" s="44"/>
      <c r="PJQ77" s="44"/>
      <c r="PJR77" s="44"/>
      <c r="PJS77" s="44"/>
      <c r="PJT77" s="44"/>
      <c r="PJU77" s="44"/>
      <c r="PJV77" s="44"/>
      <c r="PJW77" s="44"/>
      <c r="PJX77" s="44"/>
      <c r="PJY77" s="44"/>
      <c r="PJZ77" s="44"/>
      <c r="PKA77" s="44"/>
      <c r="PKB77" s="44"/>
      <c r="PKC77" s="44"/>
      <c r="PKD77" s="44"/>
      <c r="PKE77" s="44"/>
      <c r="PKF77" s="44"/>
      <c r="PKG77" s="44"/>
      <c r="PKH77" s="44"/>
      <c r="PKI77" s="44"/>
      <c r="PKJ77" s="44"/>
      <c r="PKK77" s="44"/>
      <c r="PKL77" s="44"/>
      <c r="PKM77" s="44"/>
      <c r="PKN77" s="44"/>
      <c r="PKO77" s="44"/>
      <c r="PKP77" s="44"/>
      <c r="PKQ77" s="44"/>
      <c r="PKR77" s="44"/>
      <c r="PKS77" s="44"/>
      <c r="PKT77" s="44"/>
      <c r="PKU77" s="44"/>
      <c r="PKV77" s="44"/>
      <c r="PKW77" s="44"/>
      <c r="PKX77" s="44"/>
      <c r="PKY77" s="44"/>
      <c r="PKZ77" s="44"/>
      <c r="PLA77" s="44"/>
      <c r="PLB77" s="44"/>
      <c r="PLC77" s="44"/>
      <c r="PLD77" s="44"/>
      <c r="PLE77" s="44"/>
      <c r="PLF77" s="44"/>
      <c r="PLG77" s="44"/>
      <c r="PLH77" s="44"/>
      <c r="PLI77" s="44"/>
      <c r="PLJ77" s="44"/>
      <c r="PLK77" s="44"/>
      <c r="PLL77" s="44"/>
      <c r="PLM77" s="44"/>
      <c r="PLN77" s="44"/>
      <c r="PLO77" s="44"/>
      <c r="PLP77" s="44"/>
      <c r="PLQ77" s="44"/>
      <c r="PLR77" s="44"/>
      <c r="PLS77" s="44"/>
      <c r="PLT77" s="44"/>
      <c r="PLU77" s="44"/>
      <c r="PLV77" s="44"/>
      <c r="PLW77" s="44"/>
      <c r="PLX77" s="44"/>
      <c r="PLY77" s="44"/>
      <c r="PLZ77" s="44"/>
      <c r="PMA77" s="44"/>
      <c r="PMB77" s="44"/>
      <c r="PMC77" s="44"/>
      <c r="PMD77" s="44"/>
      <c r="PME77" s="44"/>
      <c r="PMF77" s="44"/>
      <c r="PMG77" s="44"/>
      <c r="PMH77" s="44"/>
      <c r="PMI77" s="44"/>
      <c r="PMJ77" s="44"/>
      <c r="PMK77" s="44"/>
      <c r="PML77" s="44"/>
      <c r="PMM77" s="44"/>
      <c r="PMN77" s="44"/>
      <c r="PMO77" s="44"/>
      <c r="PMP77" s="44"/>
      <c r="PMQ77" s="44"/>
      <c r="PMR77" s="44"/>
      <c r="PMS77" s="44"/>
      <c r="PMT77" s="44"/>
      <c r="PMU77" s="44"/>
      <c r="PMV77" s="44"/>
      <c r="PMW77" s="44"/>
      <c r="PMX77" s="44"/>
      <c r="PMY77" s="44"/>
      <c r="PMZ77" s="44"/>
      <c r="PNA77" s="44"/>
      <c r="PNB77" s="44"/>
      <c r="PNC77" s="44"/>
      <c r="PND77" s="44"/>
      <c r="PNE77" s="44"/>
      <c r="PNF77" s="44"/>
      <c r="PNG77" s="44"/>
      <c r="PNH77" s="44"/>
      <c r="PNI77" s="44"/>
      <c r="PNJ77" s="44"/>
      <c r="PNK77" s="44"/>
      <c r="PNL77" s="44"/>
      <c r="PNM77" s="44"/>
      <c r="PNN77" s="44"/>
      <c r="PNO77" s="44"/>
      <c r="PNP77" s="44"/>
      <c r="PNQ77" s="44"/>
      <c r="PNR77" s="44"/>
      <c r="PNS77" s="44"/>
      <c r="PNT77" s="44"/>
      <c r="PNU77" s="44"/>
      <c r="PNV77" s="44"/>
      <c r="PNW77" s="44"/>
      <c r="PNX77" s="44"/>
      <c r="PNY77" s="44"/>
      <c r="PNZ77" s="44"/>
      <c r="POA77" s="44"/>
      <c r="POB77" s="44"/>
      <c r="POC77" s="44"/>
      <c r="POD77" s="44"/>
      <c r="POE77" s="44"/>
      <c r="POF77" s="44"/>
      <c r="POG77" s="44"/>
      <c r="POH77" s="44"/>
      <c r="POI77" s="44"/>
      <c r="POJ77" s="44"/>
      <c r="POK77" s="44"/>
      <c r="POL77" s="44"/>
      <c r="POM77" s="44"/>
      <c r="PON77" s="44"/>
      <c r="POO77" s="44"/>
      <c r="POP77" s="44"/>
      <c r="POQ77" s="44"/>
      <c r="POR77" s="44"/>
      <c r="POS77" s="44"/>
      <c r="POT77" s="44"/>
      <c r="POU77" s="44"/>
      <c r="POV77" s="44"/>
      <c r="POW77" s="44"/>
      <c r="POX77" s="44"/>
      <c r="POY77" s="44"/>
      <c r="POZ77" s="44"/>
      <c r="PPA77" s="44"/>
      <c r="PPB77" s="44"/>
      <c r="PPC77" s="44"/>
      <c r="PPD77" s="44"/>
      <c r="PPE77" s="44"/>
      <c r="PPF77" s="44"/>
      <c r="PPG77" s="44"/>
      <c r="PPH77" s="44"/>
      <c r="PPI77" s="44"/>
      <c r="PPJ77" s="44"/>
      <c r="PPK77" s="44"/>
      <c r="PPL77" s="44"/>
      <c r="PPM77" s="44"/>
      <c r="PPN77" s="44"/>
      <c r="PPO77" s="44"/>
      <c r="PPP77" s="44"/>
      <c r="PPQ77" s="44"/>
      <c r="PPR77" s="44"/>
      <c r="PPS77" s="44"/>
      <c r="PPT77" s="44"/>
      <c r="PPU77" s="44"/>
      <c r="PPV77" s="44"/>
      <c r="PPW77" s="44"/>
      <c r="PPX77" s="44"/>
      <c r="PPY77" s="44"/>
      <c r="PPZ77" s="44"/>
      <c r="PQA77" s="44"/>
      <c r="PQB77" s="44"/>
      <c r="PQC77" s="44"/>
      <c r="PQD77" s="44"/>
      <c r="PQE77" s="44"/>
      <c r="PQF77" s="44"/>
      <c r="PQG77" s="44"/>
      <c r="PQH77" s="44"/>
      <c r="PQI77" s="44"/>
      <c r="PQJ77" s="44"/>
      <c r="PQK77" s="44"/>
      <c r="PQL77" s="44"/>
      <c r="PQM77" s="44"/>
      <c r="PQN77" s="44"/>
      <c r="PQO77" s="44"/>
      <c r="PQP77" s="44"/>
      <c r="PQQ77" s="44"/>
      <c r="PQR77" s="44"/>
      <c r="PQS77" s="44"/>
      <c r="PQT77" s="44"/>
      <c r="PQU77" s="44"/>
      <c r="PQV77" s="44"/>
      <c r="PQW77" s="44"/>
      <c r="PQX77" s="44"/>
      <c r="PQY77" s="44"/>
      <c r="PQZ77" s="44"/>
      <c r="PRA77" s="44"/>
      <c r="PRB77" s="44"/>
      <c r="PRC77" s="44"/>
      <c r="PRD77" s="44"/>
      <c r="PRE77" s="44"/>
      <c r="PRF77" s="44"/>
      <c r="PRG77" s="44"/>
      <c r="PRH77" s="44"/>
      <c r="PRI77" s="44"/>
      <c r="PRJ77" s="44"/>
      <c r="PRK77" s="44"/>
      <c r="PRL77" s="44"/>
      <c r="PRM77" s="44"/>
      <c r="PRN77" s="44"/>
      <c r="PRO77" s="44"/>
      <c r="PRP77" s="44"/>
      <c r="PRQ77" s="44"/>
      <c r="PRR77" s="44"/>
      <c r="PRS77" s="44"/>
      <c r="PRT77" s="44"/>
      <c r="PRU77" s="44"/>
      <c r="PRV77" s="44"/>
      <c r="PRW77" s="44"/>
      <c r="PRX77" s="44"/>
      <c r="PRY77" s="44"/>
      <c r="PRZ77" s="44"/>
      <c r="PSA77" s="44"/>
      <c r="PSB77" s="44"/>
      <c r="PSC77" s="44"/>
      <c r="PSD77" s="44"/>
      <c r="PSE77" s="44"/>
      <c r="PSF77" s="44"/>
      <c r="PSG77" s="44"/>
      <c r="PSH77" s="44"/>
      <c r="PSI77" s="44"/>
      <c r="PSJ77" s="44"/>
      <c r="PSK77" s="44"/>
      <c r="PSL77" s="44"/>
      <c r="PSM77" s="44"/>
      <c r="PSN77" s="44"/>
      <c r="PSO77" s="44"/>
      <c r="PSP77" s="44"/>
      <c r="PSQ77" s="44"/>
      <c r="PSR77" s="44"/>
      <c r="PSS77" s="44"/>
      <c r="PST77" s="44"/>
      <c r="PSU77" s="44"/>
      <c r="PSV77" s="44"/>
      <c r="PSW77" s="44"/>
      <c r="PSX77" s="44"/>
      <c r="PSY77" s="44"/>
      <c r="PSZ77" s="44"/>
      <c r="PTA77" s="44"/>
      <c r="PTB77" s="44"/>
      <c r="PTC77" s="44"/>
      <c r="PTD77" s="44"/>
      <c r="PTE77" s="44"/>
      <c r="PTF77" s="44"/>
      <c r="PTG77" s="44"/>
      <c r="PTH77" s="44"/>
      <c r="PTI77" s="44"/>
      <c r="PTJ77" s="44"/>
      <c r="PTK77" s="44"/>
      <c r="PTL77" s="44"/>
      <c r="PTM77" s="44"/>
      <c r="PTN77" s="44"/>
      <c r="PTO77" s="44"/>
      <c r="PTP77" s="44"/>
      <c r="PTQ77" s="44"/>
      <c r="PTR77" s="44"/>
      <c r="PTS77" s="44"/>
      <c r="PTT77" s="44"/>
      <c r="PTU77" s="44"/>
      <c r="PTV77" s="44"/>
      <c r="PTW77" s="44"/>
      <c r="PTX77" s="44"/>
      <c r="PTY77" s="44"/>
      <c r="PTZ77" s="44"/>
      <c r="PUA77" s="44"/>
      <c r="PUB77" s="44"/>
      <c r="PUC77" s="44"/>
      <c r="PUD77" s="44"/>
      <c r="PUE77" s="44"/>
      <c r="PUF77" s="44"/>
      <c r="PUG77" s="44"/>
      <c r="PUH77" s="44"/>
      <c r="PUI77" s="44"/>
      <c r="PUJ77" s="44"/>
      <c r="PUK77" s="44"/>
      <c r="PUL77" s="44"/>
      <c r="PUM77" s="44"/>
      <c r="PUN77" s="44"/>
      <c r="PUO77" s="44"/>
      <c r="PUP77" s="44"/>
      <c r="PUQ77" s="44"/>
      <c r="PUR77" s="44"/>
      <c r="PUS77" s="44"/>
      <c r="PUT77" s="44"/>
      <c r="PUU77" s="44"/>
      <c r="PUV77" s="44"/>
      <c r="PUW77" s="44"/>
      <c r="PUX77" s="44"/>
      <c r="PUY77" s="44"/>
      <c r="PUZ77" s="44"/>
      <c r="PVA77" s="44"/>
      <c r="PVB77" s="44"/>
      <c r="PVC77" s="44"/>
      <c r="PVD77" s="44"/>
      <c r="PVE77" s="44"/>
      <c r="PVF77" s="44"/>
      <c r="PVG77" s="44"/>
      <c r="PVH77" s="44"/>
      <c r="PVI77" s="44"/>
      <c r="PVJ77" s="44"/>
      <c r="PVK77" s="44"/>
      <c r="PVL77" s="44"/>
      <c r="PVM77" s="44"/>
      <c r="PVN77" s="44"/>
      <c r="PVO77" s="44"/>
      <c r="PVP77" s="44"/>
      <c r="PVQ77" s="44"/>
      <c r="PVR77" s="44"/>
      <c r="PVS77" s="44"/>
      <c r="PVT77" s="44"/>
      <c r="PVU77" s="44"/>
      <c r="PVV77" s="44"/>
      <c r="PVW77" s="44"/>
      <c r="PVX77" s="44"/>
      <c r="PVY77" s="44"/>
      <c r="PVZ77" s="44"/>
      <c r="PWA77" s="44"/>
      <c r="PWB77" s="44"/>
      <c r="PWC77" s="44"/>
      <c r="PWD77" s="44"/>
      <c r="PWE77" s="44"/>
      <c r="PWF77" s="44"/>
      <c r="PWG77" s="44"/>
      <c r="PWH77" s="44"/>
      <c r="PWI77" s="44"/>
      <c r="PWJ77" s="44"/>
      <c r="PWK77" s="44"/>
      <c r="PWL77" s="44"/>
      <c r="PWM77" s="44"/>
      <c r="PWN77" s="44"/>
      <c r="PWO77" s="44"/>
      <c r="PWP77" s="44"/>
      <c r="PWQ77" s="44"/>
      <c r="PWR77" s="44"/>
      <c r="PWS77" s="44"/>
      <c r="PWT77" s="44"/>
      <c r="PWU77" s="44"/>
      <c r="PWV77" s="44"/>
      <c r="PWW77" s="44"/>
      <c r="PWX77" s="44"/>
      <c r="PWY77" s="44"/>
      <c r="PWZ77" s="44"/>
      <c r="PXA77" s="44"/>
      <c r="PXB77" s="44"/>
      <c r="PXC77" s="44"/>
      <c r="PXD77" s="44"/>
      <c r="PXE77" s="44"/>
      <c r="PXF77" s="44"/>
      <c r="PXG77" s="44"/>
      <c r="PXH77" s="44"/>
      <c r="PXI77" s="44"/>
      <c r="PXJ77" s="44"/>
      <c r="PXK77" s="44"/>
      <c r="PXL77" s="44"/>
      <c r="PXM77" s="44"/>
      <c r="PXN77" s="44"/>
      <c r="PXO77" s="44"/>
      <c r="PXP77" s="44"/>
      <c r="PXQ77" s="44"/>
      <c r="PXR77" s="44"/>
      <c r="PXS77" s="44"/>
      <c r="PXT77" s="44"/>
      <c r="PXU77" s="44"/>
      <c r="PXV77" s="44"/>
      <c r="PXW77" s="44"/>
      <c r="PXX77" s="44"/>
      <c r="PXY77" s="44"/>
      <c r="PXZ77" s="44"/>
      <c r="PYA77" s="44"/>
      <c r="PYB77" s="44"/>
      <c r="PYC77" s="44"/>
      <c r="PYD77" s="44"/>
      <c r="PYE77" s="44"/>
      <c r="PYF77" s="44"/>
      <c r="PYG77" s="44"/>
      <c r="PYH77" s="44"/>
      <c r="PYI77" s="44"/>
      <c r="PYJ77" s="44"/>
      <c r="PYK77" s="44"/>
      <c r="PYL77" s="44"/>
      <c r="PYM77" s="44"/>
      <c r="PYN77" s="44"/>
      <c r="PYO77" s="44"/>
      <c r="PYP77" s="44"/>
      <c r="PYQ77" s="44"/>
      <c r="PYR77" s="44"/>
      <c r="PYS77" s="44"/>
      <c r="PYT77" s="44"/>
      <c r="PYU77" s="44"/>
      <c r="PYV77" s="44"/>
      <c r="PYW77" s="44"/>
      <c r="PYX77" s="44"/>
      <c r="PYY77" s="44"/>
      <c r="PYZ77" s="44"/>
      <c r="PZA77" s="44"/>
      <c r="PZB77" s="44"/>
      <c r="PZC77" s="44"/>
      <c r="PZD77" s="44"/>
      <c r="PZE77" s="44"/>
      <c r="PZF77" s="44"/>
      <c r="PZG77" s="44"/>
      <c r="PZH77" s="44"/>
      <c r="PZI77" s="44"/>
      <c r="PZJ77" s="44"/>
      <c r="PZK77" s="44"/>
      <c r="PZL77" s="44"/>
      <c r="PZM77" s="44"/>
      <c r="PZN77" s="44"/>
      <c r="PZO77" s="44"/>
      <c r="PZP77" s="44"/>
      <c r="PZQ77" s="44"/>
      <c r="PZR77" s="44"/>
      <c r="PZS77" s="44"/>
      <c r="PZT77" s="44"/>
      <c r="PZU77" s="44"/>
      <c r="PZV77" s="44"/>
      <c r="PZW77" s="44"/>
      <c r="PZX77" s="44"/>
      <c r="PZY77" s="44"/>
      <c r="PZZ77" s="44"/>
      <c r="QAA77" s="44"/>
      <c r="QAB77" s="44"/>
      <c r="QAC77" s="44"/>
      <c r="QAD77" s="44"/>
      <c r="QAE77" s="44"/>
      <c r="QAF77" s="44"/>
      <c r="QAG77" s="44"/>
      <c r="QAH77" s="44"/>
      <c r="QAI77" s="44"/>
      <c r="QAJ77" s="44"/>
      <c r="QAK77" s="44"/>
      <c r="QAL77" s="44"/>
      <c r="QAM77" s="44"/>
      <c r="QAN77" s="44"/>
      <c r="QAO77" s="44"/>
      <c r="QAP77" s="44"/>
      <c r="QAQ77" s="44"/>
      <c r="QAR77" s="44"/>
      <c r="QAS77" s="44"/>
      <c r="QAT77" s="44"/>
      <c r="QAU77" s="44"/>
      <c r="QAV77" s="44"/>
      <c r="QAW77" s="44"/>
      <c r="QAX77" s="44"/>
      <c r="QAY77" s="44"/>
      <c r="QAZ77" s="44"/>
      <c r="QBA77" s="44"/>
      <c r="QBB77" s="44"/>
      <c r="QBC77" s="44"/>
      <c r="QBD77" s="44"/>
      <c r="QBE77" s="44"/>
      <c r="QBF77" s="44"/>
      <c r="QBG77" s="44"/>
      <c r="QBH77" s="44"/>
      <c r="QBI77" s="44"/>
      <c r="QBJ77" s="44"/>
      <c r="QBK77" s="44"/>
      <c r="QBL77" s="44"/>
      <c r="QBM77" s="44"/>
      <c r="QBN77" s="44"/>
      <c r="QBO77" s="44"/>
      <c r="QBP77" s="44"/>
      <c r="QBQ77" s="44"/>
      <c r="QBR77" s="44"/>
      <c r="QBS77" s="44"/>
      <c r="QBT77" s="44"/>
      <c r="QBU77" s="44"/>
      <c r="QBV77" s="44"/>
      <c r="QBW77" s="44"/>
      <c r="QBX77" s="44"/>
      <c r="QBY77" s="44"/>
      <c r="QBZ77" s="44"/>
      <c r="QCA77" s="44"/>
      <c r="QCB77" s="44"/>
      <c r="QCC77" s="44"/>
      <c r="QCD77" s="44"/>
      <c r="QCE77" s="44"/>
      <c r="QCF77" s="44"/>
      <c r="QCG77" s="44"/>
      <c r="QCH77" s="44"/>
      <c r="QCI77" s="44"/>
      <c r="QCJ77" s="44"/>
      <c r="QCK77" s="44"/>
      <c r="QCL77" s="44"/>
      <c r="QCM77" s="44"/>
      <c r="QCN77" s="44"/>
      <c r="QCO77" s="44"/>
      <c r="QCP77" s="44"/>
      <c r="QCQ77" s="44"/>
      <c r="QCR77" s="44"/>
      <c r="QCS77" s="44"/>
      <c r="QCT77" s="44"/>
      <c r="QCU77" s="44"/>
      <c r="QCV77" s="44"/>
      <c r="QCW77" s="44"/>
      <c r="QCX77" s="44"/>
      <c r="QCY77" s="44"/>
      <c r="QCZ77" s="44"/>
      <c r="QDA77" s="44"/>
      <c r="QDB77" s="44"/>
      <c r="QDC77" s="44"/>
      <c r="QDD77" s="44"/>
      <c r="QDE77" s="44"/>
      <c r="QDF77" s="44"/>
      <c r="QDG77" s="44"/>
      <c r="QDH77" s="44"/>
      <c r="QDI77" s="44"/>
      <c r="QDJ77" s="44"/>
      <c r="QDK77" s="44"/>
      <c r="QDL77" s="44"/>
      <c r="QDM77" s="44"/>
      <c r="QDN77" s="44"/>
      <c r="QDO77" s="44"/>
      <c r="QDP77" s="44"/>
      <c r="QDQ77" s="44"/>
      <c r="QDR77" s="44"/>
      <c r="QDS77" s="44"/>
      <c r="QDT77" s="44"/>
      <c r="QDU77" s="44"/>
      <c r="QDV77" s="44"/>
      <c r="QDW77" s="44"/>
      <c r="QDX77" s="44"/>
      <c r="QDY77" s="44"/>
      <c r="QDZ77" s="44"/>
      <c r="QEA77" s="44"/>
      <c r="QEB77" s="44"/>
      <c r="QEC77" s="44"/>
      <c r="QED77" s="44"/>
      <c r="QEE77" s="44"/>
      <c r="QEF77" s="44"/>
      <c r="QEG77" s="44"/>
      <c r="QEH77" s="44"/>
      <c r="QEI77" s="44"/>
      <c r="QEJ77" s="44"/>
      <c r="QEK77" s="44"/>
      <c r="QEL77" s="44"/>
      <c r="QEM77" s="44"/>
      <c r="QEN77" s="44"/>
      <c r="QEO77" s="44"/>
      <c r="QEP77" s="44"/>
      <c r="QEQ77" s="44"/>
      <c r="QER77" s="44"/>
      <c r="QES77" s="44"/>
      <c r="QET77" s="44"/>
      <c r="QEU77" s="44"/>
      <c r="QEV77" s="44"/>
      <c r="QEW77" s="44"/>
      <c r="QEX77" s="44"/>
      <c r="QEY77" s="44"/>
      <c r="QEZ77" s="44"/>
      <c r="QFA77" s="44"/>
      <c r="QFB77" s="44"/>
      <c r="QFC77" s="44"/>
      <c r="QFD77" s="44"/>
      <c r="QFE77" s="44"/>
      <c r="QFF77" s="44"/>
      <c r="QFG77" s="44"/>
      <c r="QFH77" s="44"/>
      <c r="QFI77" s="44"/>
      <c r="QFJ77" s="44"/>
      <c r="QFK77" s="44"/>
      <c r="QFL77" s="44"/>
      <c r="QFM77" s="44"/>
      <c r="QFN77" s="44"/>
      <c r="QFO77" s="44"/>
      <c r="QFP77" s="44"/>
      <c r="QFQ77" s="44"/>
      <c r="QFR77" s="44"/>
      <c r="QFS77" s="44"/>
      <c r="QFT77" s="44"/>
      <c r="QFU77" s="44"/>
      <c r="QFV77" s="44"/>
      <c r="QFW77" s="44"/>
      <c r="QFX77" s="44"/>
      <c r="QFY77" s="44"/>
      <c r="QFZ77" s="44"/>
      <c r="QGA77" s="44"/>
      <c r="QGB77" s="44"/>
      <c r="QGC77" s="44"/>
      <c r="QGD77" s="44"/>
      <c r="QGE77" s="44"/>
      <c r="QGF77" s="44"/>
      <c r="QGG77" s="44"/>
      <c r="QGH77" s="44"/>
      <c r="QGI77" s="44"/>
      <c r="QGJ77" s="44"/>
      <c r="QGK77" s="44"/>
      <c r="QGL77" s="44"/>
      <c r="QGM77" s="44"/>
      <c r="QGN77" s="44"/>
      <c r="QGO77" s="44"/>
      <c r="QGP77" s="44"/>
      <c r="QGQ77" s="44"/>
      <c r="QGR77" s="44"/>
      <c r="QGS77" s="44"/>
      <c r="QGT77" s="44"/>
      <c r="QGU77" s="44"/>
      <c r="QGV77" s="44"/>
      <c r="QGW77" s="44"/>
      <c r="QGX77" s="44"/>
      <c r="QGY77" s="44"/>
      <c r="QGZ77" s="44"/>
      <c r="QHA77" s="44"/>
      <c r="QHB77" s="44"/>
      <c r="QHC77" s="44"/>
      <c r="QHD77" s="44"/>
      <c r="QHE77" s="44"/>
      <c r="QHF77" s="44"/>
      <c r="QHG77" s="44"/>
      <c r="QHH77" s="44"/>
      <c r="QHI77" s="44"/>
      <c r="QHJ77" s="44"/>
      <c r="QHK77" s="44"/>
      <c r="QHL77" s="44"/>
      <c r="QHM77" s="44"/>
      <c r="QHN77" s="44"/>
      <c r="QHO77" s="44"/>
      <c r="QHP77" s="44"/>
      <c r="QHQ77" s="44"/>
      <c r="QHR77" s="44"/>
      <c r="QHS77" s="44"/>
      <c r="QHT77" s="44"/>
      <c r="QHU77" s="44"/>
      <c r="QHV77" s="44"/>
      <c r="QHW77" s="44"/>
      <c r="QHX77" s="44"/>
      <c r="QHY77" s="44"/>
      <c r="QHZ77" s="44"/>
      <c r="QIA77" s="44"/>
      <c r="QIB77" s="44"/>
      <c r="QIC77" s="44"/>
      <c r="QID77" s="44"/>
      <c r="QIE77" s="44"/>
      <c r="QIF77" s="44"/>
      <c r="QIG77" s="44"/>
      <c r="QIH77" s="44"/>
      <c r="QII77" s="44"/>
      <c r="QIJ77" s="44"/>
      <c r="QIK77" s="44"/>
      <c r="QIL77" s="44"/>
      <c r="QIM77" s="44"/>
      <c r="QIN77" s="44"/>
      <c r="QIO77" s="44"/>
      <c r="QIP77" s="44"/>
      <c r="QIQ77" s="44"/>
      <c r="QIR77" s="44"/>
      <c r="QIS77" s="44"/>
      <c r="QIT77" s="44"/>
      <c r="QIU77" s="44"/>
      <c r="QIV77" s="44"/>
      <c r="QIW77" s="44"/>
      <c r="QIX77" s="44"/>
      <c r="QIY77" s="44"/>
      <c r="QIZ77" s="44"/>
      <c r="QJA77" s="44"/>
      <c r="QJB77" s="44"/>
      <c r="QJC77" s="44"/>
      <c r="QJD77" s="44"/>
      <c r="QJE77" s="44"/>
      <c r="QJF77" s="44"/>
      <c r="QJG77" s="44"/>
      <c r="QJH77" s="44"/>
      <c r="QJI77" s="44"/>
      <c r="QJJ77" s="44"/>
      <c r="QJK77" s="44"/>
      <c r="QJL77" s="44"/>
      <c r="QJM77" s="44"/>
      <c r="QJN77" s="44"/>
      <c r="QJO77" s="44"/>
      <c r="QJP77" s="44"/>
      <c r="QJQ77" s="44"/>
      <c r="QJR77" s="44"/>
      <c r="QJS77" s="44"/>
      <c r="QJT77" s="44"/>
      <c r="QJU77" s="44"/>
      <c r="QJV77" s="44"/>
      <c r="QJW77" s="44"/>
      <c r="QJX77" s="44"/>
      <c r="QJY77" s="44"/>
      <c r="QJZ77" s="44"/>
      <c r="QKA77" s="44"/>
      <c r="QKB77" s="44"/>
      <c r="QKC77" s="44"/>
      <c r="QKD77" s="44"/>
      <c r="QKE77" s="44"/>
      <c r="QKF77" s="44"/>
      <c r="QKG77" s="44"/>
      <c r="QKH77" s="44"/>
      <c r="QKI77" s="44"/>
      <c r="QKJ77" s="44"/>
      <c r="QKK77" s="44"/>
      <c r="QKL77" s="44"/>
      <c r="QKM77" s="44"/>
      <c r="QKN77" s="44"/>
      <c r="QKO77" s="44"/>
      <c r="QKP77" s="44"/>
      <c r="QKQ77" s="44"/>
      <c r="QKR77" s="44"/>
      <c r="QKS77" s="44"/>
      <c r="QKT77" s="44"/>
      <c r="QKU77" s="44"/>
      <c r="QKV77" s="44"/>
      <c r="QKW77" s="44"/>
      <c r="QKX77" s="44"/>
      <c r="QKY77" s="44"/>
      <c r="QKZ77" s="44"/>
      <c r="QLA77" s="44"/>
      <c r="QLB77" s="44"/>
      <c r="QLC77" s="44"/>
      <c r="QLD77" s="44"/>
      <c r="QLE77" s="44"/>
      <c r="QLF77" s="44"/>
      <c r="QLG77" s="44"/>
      <c r="QLH77" s="44"/>
      <c r="QLI77" s="44"/>
      <c r="QLJ77" s="44"/>
      <c r="QLK77" s="44"/>
      <c r="QLL77" s="44"/>
      <c r="QLM77" s="44"/>
      <c r="QLN77" s="44"/>
      <c r="QLO77" s="44"/>
      <c r="QLP77" s="44"/>
      <c r="QLQ77" s="44"/>
      <c r="QLR77" s="44"/>
      <c r="QLS77" s="44"/>
      <c r="QLT77" s="44"/>
      <c r="QLU77" s="44"/>
      <c r="QLV77" s="44"/>
      <c r="QLW77" s="44"/>
      <c r="QLX77" s="44"/>
      <c r="QLY77" s="44"/>
      <c r="QLZ77" s="44"/>
      <c r="QMA77" s="44"/>
      <c r="QMB77" s="44"/>
      <c r="QMC77" s="44"/>
      <c r="QMD77" s="44"/>
      <c r="QME77" s="44"/>
      <c r="QMF77" s="44"/>
      <c r="QMG77" s="44"/>
      <c r="QMH77" s="44"/>
      <c r="QMI77" s="44"/>
      <c r="QMJ77" s="44"/>
      <c r="QMK77" s="44"/>
      <c r="QML77" s="44"/>
      <c r="QMM77" s="44"/>
      <c r="QMN77" s="44"/>
      <c r="QMO77" s="44"/>
      <c r="QMP77" s="44"/>
      <c r="QMQ77" s="44"/>
      <c r="QMR77" s="44"/>
      <c r="QMS77" s="44"/>
      <c r="QMT77" s="44"/>
      <c r="QMU77" s="44"/>
      <c r="QMV77" s="44"/>
      <c r="QMW77" s="44"/>
      <c r="QMX77" s="44"/>
      <c r="QMY77" s="44"/>
      <c r="QMZ77" s="44"/>
      <c r="QNA77" s="44"/>
      <c r="QNB77" s="44"/>
      <c r="QNC77" s="44"/>
      <c r="QND77" s="44"/>
      <c r="QNE77" s="44"/>
      <c r="QNF77" s="44"/>
      <c r="QNG77" s="44"/>
      <c r="QNH77" s="44"/>
      <c r="QNI77" s="44"/>
      <c r="QNJ77" s="44"/>
      <c r="QNK77" s="44"/>
      <c r="QNL77" s="44"/>
      <c r="QNM77" s="44"/>
      <c r="QNN77" s="44"/>
      <c r="QNO77" s="44"/>
      <c r="QNP77" s="44"/>
      <c r="QNQ77" s="44"/>
      <c r="QNR77" s="44"/>
      <c r="QNS77" s="44"/>
      <c r="QNT77" s="44"/>
      <c r="QNU77" s="44"/>
      <c r="QNV77" s="44"/>
      <c r="QNW77" s="44"/>
      <c r="QNX77" s="44"/>
      <c r="QNY77" s="44"/>
      <c r="QNZ77" s="44"/>
      <c r="QOA77" s="44"/>
      <c r="QOB77" s="44"/>
      <c r="QOC77" s="44"/>
      <c r="QOD77" s="44"/>
      <c r="QOE77" s="44"/>
      <c r="QOF77" s="44"/>
      <c r="QOG77" s="44"/>
      <c r="QOH77" s="44"/>
      <c r="QOI77" s="44"/>
      <c r="QOJ77" s="44"/>
      <c r="QOK77" s="44"/>
      <c r="QOL77" s="44"/>
      <c r="QOM77" s="44"/>
      <c r="QON77" s="44"/>
      <c r="QOO77" s="44"/>
      <c r="QOP77" s="44"/>
      <c r="QOQ77" s="44"/>
      <c r="QOR77" s="44"/>
      <c r="QOS77" s="44"/>
      <c r="QOT77" s="44"/>
      <c r="QOU77" s="44"/>
      <c r="QOV77" s="44"/>
      <c r="QOW77" s="44"/>
      <c r="QOX77" s="44"/>
      <c r="QOY77" s="44"/>
      <c r="QOZ77" s="44"/>
      <c r="QPA77" s="44"/>
      <c r="QPB77" s="44"/>
      <c r="QPC77" s="44"/>
      <c r="QPD77" s="44"/>
      <c r="QPE77" s="44"/>
      <c r="QPF77" s="44"/>
      <c r="QPG77" s="44"/>
      <c r="QPH77" s="44"/>
      <c r="QPI77" s="44"/>
      <c r="QPJ77" s="44"/>
      <c r="QPK77" s="44"/>
      <c r="QPL77" s="44"/>
      <c r="QPM77" s="44"/>
      <c r="QPN77" s="44"/>
      <c r="QPO77" s="44"/>
      <c r="QPP77" s="44"/>
      <c r="QPQ77" s="44"/>
      <c r="QPR77" s="44"/>
      <c r="QPS77" s="44"/>
      <c r="QPT77" s="44"/>
      <c r="QPU77" s="44"/>
      <c r="QPV77" s="44"/>
      <c r="QPW77" s="44"/>
      <c r="QPX77" s="44"/>
      <c r="QPY77" s="44"/>
      <c r="QPZ77" s="44"/>
      <c r="QQA77" s="44"/>
      <c r="QQB77" s="44"/>
      <c r="QQC77" s="44"/>
      <c r="QQD77" s="44"/>
      <c r="QQE77" s="44"/>
      <c r="QQF77" s="44"/>
      <c r="QQG77" s="44"/>
      <c r="QQH77" s="44"/>
      <c r="QQI77" s="44"/>
      <c r="QQJ77" s="44"/>
      <c r="QQK77" s="44"/>
      <c r="QQL77" s="44"/>
      <c r="QQM77" s="44"/>
      <c r="QQN77" s="44"/>
      <c r="QQO77" s="44"/>
      <c r="QQP77" s="44"/>
      <c r="QQQ77" s="44"/>
      <c r="QQR77" s="44"/>
      <c r="QQS77" s="44"/>
      <c r="QQT77" s="44"/>
      <c r="QQU77" s="44"/>
      <c r="QQV77" s="44"/>
      <c r="QQW77" s="44"/>
      <c r="QQX77" s="44"/>
      <c r="QQY77" s="44"/>
      <c r="QQZ77" s="44"/>
      <c r="QRA77" s="44"/>
      <c r="QRB77" s="44"/>
      <c r="QRC77" s="44"/>
      <c r="QRD77" s="44"/>
      <c r="QRE77" s="44"/>
      <c r="QRF77" s="44"/>
      <c r="QRG77" s="44"/>
      <c r="QRH77" s="44"/>
      <c r="QRI77" s="44"/>
      <c r="QRJ77" s="44"/>
      <c r="QRK77" s="44"/>
      <c r="QRL77" s="44"/>
      <c r="QRM77" s="44"/>
      <c r="QRN77" s="44"/>
      <c r="QRO77" s="44"/>
      <c r="QRP77" s="44"/>
      <c r="QRQ77" s="44"/>
      <c r="QRR77" s="44"/>
      <c r="QRS77" s="44"/>
      <c r="QRT77" s="44"/>
      <c r="QRU77" s="44"/>
      <c r="QRV77" s="44"/>
      <c r="QRW77" s="44"/>
      <c r="QRX77" s="44"/>
      <c r="QRY77" s="44"/>
      <c r="QRZ77" s="44"/>
      <c r="QSA77" s="44"/>
      <c r="QSB77" s="44"/>
      <c r="QSC77" s="44"/>
      <c r="QSD77" s="44"/>
      <c r="QSE77" s="44"/>
      <c r="QSF77" s="44"/>
      <c r="QSG77" s="44"/>
      <c r="QSH77" s="44"/>
      <c r="QSI77" s="44"/>
      <c r="QSJ77" s="44"/>
      <c r="QSK77" s="44"/>
      <c r="QSL77" s="44"/>
      <c r="QSM77" s="44"/>
      <c r="QSN77" s="44"/>
      <c r="QSO77" s="44"/>
      <c r="QSP77" s="44"/>
      <c r="QSQ77" s="44"/>
      <c r="QSR77" s="44"/>
      <c r="QSS77" s="44"/>
      <c r="QST77" s="44"/>
      <c r="QSU77" s="44"/>
      <c r="QSV77" s="44"/>
      <c r="QSW77" s="44"/>
      <c r="QSX77" s="44"/>
      <c r="QSY77" s="44"/>
      <c r="QSZ77" s="44"/>
      <c r="QTA77" s="44"/>
      <c r="QTB77" s="44"/>
      <c r="QTC77" s="44"/>
      <c r="QTD77" s="44"/>
      <c r="QTE77" s="44"/>
      <c r="QTF77" s="44"/>
      <c r="QTG77" s="44"/>
      <c r="QTH77" s="44"/>
      <c r="QTI77" s="44"/>
      <c r="QTJ77" s="44"/>
      <c r="QTK77" s="44"/>
      <c r="QTL77" s="44"/>
      <c r="QTM77" s="44"/>
      <c r="QTN77" s="44"/>
      <c r="QTO77" s="44"/>
      <c r="QTP77" s="44"/>
      <c r="QTQ77" s="44"/>
      <c r="QTR77" s="44"/>
      <c r="QTS77" s="44"/>
      <c r="QTT77" s="44"/>
      <c r="QTU77" s="44"/>
      <c r="QTV77" s="44"/>
      <c r="QTW77" s="44"/>
      <c r="QTX77" s="44"/>
      <c r="QTY77" s="44"/>
      <c r="QTZ77" s="44"/>
      <c r="QUA77" s="44"/>
      <c r="QUB77" s="44"/>
      <c r="QUC77" s="44"/>
      <c r="QUD77" s="44"/>
      <c r="QUE77" s="44"/>
      <c r="QUF77" s="44"/>
      <c r="QUG77" s="44"/>
      <c r="QUH77" s="44"/>
      <c r="QUI77" s="44"/>
      <c r="QUJ77" s="44"/>
      <c r="QUK77" s="44"/>
      <c r="QUL77" s="44"/>
      <c r="QUM77" s="44"/>
      <c r="QUN77" s="44"/>
      <c r="QUO77" s="44"/>
      <c r="QUP77" s="44"/>
      <c r="QUQ77" s="44"/>
      <c r="QUR77" s="44"/>
      <c r="QUS77" s="44"/>
      <c r="QUT77" s="44"/>
      <c r="QUU77" s="44"/>
      <c r="QUV77" s="44"/>
      <c r="QUW77" s="44"/>
      <c r="QUX77" s="44"/>
      <c r="QUY77" s="44"/>
      <c r="QUZ77" s="44"/>
      <c r="QVA77" s="44"/>
      <c r="QVB77" s="44"/>
      <c r="QVC77" s="44"/>
      <c r="QVD77" s="44"/>
      <c r="QVE77" s="44"/>
      <c r="QVF77" s="44"/>
      <c r="QVG77" s="44"/>
      <c r="QVH77" s="44"/>
      <c r="QVI77" s="44"/>
      <c r="QVJ77" s="44"/>
      <c r="QVK77" s="44"/>
      <c r="QVL77" s="44"/>
      <c r="QVM77" s="44"/>
      <c r="QVN77" s="44"/>
      <c r="QVO77" s="44"/>
      <c r="QVP77" s="44"/>
      <c r="QVQ77" s="44"/>
      <c r="QVR77" s="44"/>
      <c r="QVS77" s="44"/>
      <c r="QVT77" s="44"/>
      <c r="QVU77" s="44"/>
      <c r="QVV77" s="44"/>
      <c r="QVW77" s="44"/>
      <c r="QVX77" s="44"/>
      <c r="QVY77" s="44"/>
      <c r="QVZ77" s="44"/>
      <c r="QWA77" s="44"/>
      <c r="QWB77" s="44"/>
      <c r="QWC77" s="44"/>
      <c r="QWD77" s="44"/>
      <c r="QWE77" s="44"/>
      <c r="QWF77" s="44"/>
      <c r="QWG77" s="44"/>
      <c r="QWH77" s="44"/>
      <c r="QWI77" s="44"/>
      <c r="QWJ77" s="44"/>
      <c r="QWK77" s="44"/>
      <c r="QWL77" s="44"/>
      <c r="QWM77" s="44"/>
      <c r="QWN77" s="44"/>
      <c r="QWO77" s="44"/>
      <c r="QWP77" s="44"/>
      <c r="QWQ77" s="44"/>
      <c r="QWR77" s="44"/>
      <c r="QWS77" s="44"/>
      <c r="QWT77" s="44"/>
      <c r="QWU77" s="44"/>
      <c r="QWV77" s="44"/>
      <c r="QWW77" s="44"/>
      <c r="QWX77" s="44"/>
      <c r="QWY77" s="44"/>
      <c r="QWZ77" s="44"/>
      <c r="QXA77" s="44"/>
      <c r="QXB77" s="44"/>
      <c r="QXC77" s="44"/>
      <c r="QXD77" s="44"/>
      <c r="QXE77" s="44"/>
      <c r="QXF77" s="44"/>
      <c r="QXG77" s="44"/>
      <c r="QXH77" s="44"/>
      <c r="QXI77" s="44"/>
      <c r="QXJ77" s="44"/>
      <c r="QXK77" s="44"/>
      <c r="QXL77" s="44"/>
      <c r="QXM77" s="44"/>
      <c r="QXN77" s="44"/>
      <c r="QXO77" s="44"/>
      <c r="QXP77" s="44"/>
      <c r="QXQ77" s="44"/>
      <c r="QXR77" s="44"/>
      <c r="QXS77" s="44"/>
      <c r="QXT77" s="44"/>
      <c r="QXU77" s="44"/>
      <c r="QXV77" s="44"/>
      <c r="QXW77" s="44"/>
      <c r="QXX77" s="44"/>
      <c r="QXY77" s="44"/>
      <c r="QXZ77" s="44"/>
      <c r="QYA77" s="44"/>
      <c r="QYB77" s="44"/>
      <c r="QYC77" s="44"/>
      <c r="QYD77" s="44"/>
      <c r="QYE77" s="44"/>
      <c r="QYF77" s="44"/>
      <c r="QYG77" s="44"/>
      <c r="QYH77" s="44"/>
      <c r="QYI77" s="44"/>
      <c r="QYJ77" s="44"/>
      <c r="QYK77" s="44"/>
      <c r="QYL77" s="44"/>
      <c r="QYM77" s="44"/>
      <c r="QYN77" s="44"/>
      <c r="QYO77" s="44"/>
      <c r="QYP77" s="44"/>
      <c r="QYQ77" s="44"/>
      <c r="QYR77" s="44"/>
      <c r="QYS77" s="44"/>
      <c r="QYT77" s="44"/>
      <c r="QYU77" s="44"/>
      <c r="QYV77" s="44"/>
      <c r="QYW77" s="44"/>
      <c r="QYX77" s="44"/>
      <c r="QYY77" s="44"/>
      <c r="QYZ77" s="44"/>
      <c r="QZA77" s="44"/>
      <c r="QZB77" s="44"/>
      <c r="QZC77" s="44"/>
      <c r="QZD77" s="44"/>
      <c r="QZE77" s="44"/>
      <c r="QZF77" s="44"/>
      <c r="QZG77" s="44"/>
      <c r="QZH77" s="44"/>
      <c r="QZI77" s="44"/>
      <c r="QZJ77" s="44"/>
      <c r="QZK77" s="44"/>
      <c r="QZL77" s="44"/>
      <c r="QZM77" s="44"/>
      <c r="QZN77" s="44"/>
      <c r="QZO77" s="44"/>
      <c r="QZP77" s="44"/>
      <c r="QZQ77" s="44"/>
      <c r="QZR77" s="44"/>
      <c r="QZS77" s="44"/>
      <c r="QZT77" s="44"/>
      <c r="QZU77" s="44"/>
      <c r="QZV77" s="44"/>
      <c r="QZW77" s="44"/>
      <c r="QZX77" s="44"/>
      <c r="QZY77" s="44"/>
      <c r="QZZ77" s="44"/>
      <c r="RAA77" s="44"/>
      <c r="RAB77" s="44"/>
      <c r="RAC77" s="44"/>
      <c r="RAD77" s="44"/>
      <c r="RAE77" s="44"/>
      <c r="RAF77" s="44"/>
      <c r="RAG77" s="44"/>
      <c r="RAH77" s="44"/>
      <c r="RAI77" s="44"/>
      <c r="RAJ77" s="44"/>
      <c r="RAK77" s="44"/>
      <c r="RAL77" s="44"/>
      <c r="RAM77" s="44"/>
      <c r="RAN77" s="44"/>
      <c r="RAO77" s="44"/>
      <c r="RAP77" s="44"/>
      <c r="RAQ77" s="44"/>
      <c r="RAR77" s="44"/>
      <c r="RAS77" s="44"/>
      <c r="RAT77" s="44"/>
      <c r="RAU77" s="44"/>
      <c r="RAV77" s="44"/>
      <c r="RAW77" s="44"/>
      <c r="RAX77" s="44"/>
      <c r="RAY77" s="44"/>
      <c r="RAZ77" s="44"/>
      <c r="RBA77" s="44"/>
      <c r="RBB77" s="44"/>
      <c r="RBC77" s="44"/>
      <c r="RBD77" s="44"/>
      <c r="RBE77" s="44"/>
      <c r="RBF77" s="44"/>
      <c r="RBG77" s="44"/>
      <c r="RBH77" s="44"/>
      <c r="RBI77" s="44"/>
      <c r="RBJ77" s="44"/>
      <c r="RBK77" s="44"/>
      <c r="RBL77" s="44"/>
      <c r="RBM77" s="44"/>
      <c r="RBN77" s="44"/>
      <c r="RBO77" s="44"/>
      <c r="RBP77" s="44"/>
      <c r="RBQ77" s="44"/>
      <c r="RBR77" s="44"/>
      <c r="RBS77" s="44"/>
      <c r="RBT77" s="44"/>
      <c r="RBU77" s="44"/>
      <c r="RBV77" s="44"/>
      <c r="RBW77" s="44"/>
      <c r="RBX77" s="44"/>
      <c r="RBY77" s="44"/>
      <c r="RBZ77" s="44"/>
      <c r="RCA77" s="44"/>
      <c r="RCB77" s="44"/>
      <c r="RCC77" s="44"/>
      <c r="RCD77" s="44"/>
      <c r="RCE77" s="44"/>
      <c r="RCF77" s="44"/>
      <c r="RCG77" s="44"/>
      <c r="RCH77" s="44"/>
      <c r="RCI77" s="44"/>
      <c r="RCJ77" s="44"/>
      <c r="RCK77" s="44"/>
      <c r="RCL77" s="44"/>
      <c r="RCM77" s="44"/>
      <c r="RCN77" s="44"/>
      <c r="RCO77" s="44"/>
      <c r="RCP77" s="44"/>
      <c r="RCQ77" s="44"/>
      <c r="RCR77" s="44"/>
      <c r="RCS77" s="44"/>
      <c r="RCT77" s="44"/>
      <c r="RCU77" s="44"/>
      <c r="RCV77" s="44"/>
      <c r="RCW77" s="44"/>
      <c r="RCX77" s="44"/>
      <c r="RCY77" s="44"/>
      <c r="RCZ77" s="44"/>
      <c r="RDA77" s="44"/>
      <c r="RDB77" s="44"/>
      <c r="RDC77" s="44"/>
      <c r="RDD77" s="44"/>
      <c r="RDE77" s="44"/>
      <c r="RDF77" s="44"/>
      <c r="RDG77" s="44"/>
      <c r="RDH77" s="44"/>
      <c r="RDI77" s="44"/>
      <c r="RDJ77" s="44"/>
      <c r="RDK77" s="44"/>
      <c r="RDL77" s="44"/>
      <c r="RDM77" s="44"/>
      <c r="RDN77" s="44"/>
      <c r="RDO77" s="44"/>
      <c r="RDP77" s="44"/>
      <c r="RDQ77" s="44"/>
      <c r="RDR77" s="44"/>
      <c r="RDS77" s="44"/>
      <c r="RDT77" s="44"/>
      <c r="RDU77" s="44"/>
      <c r="RDV77" s="44"/>
      <c r="RDW77" s="44"/>
      <c r="RDX77" s="44"/>
      <c r="RDY77" s="44"/>
      <c r="RDZ77" s="44"/>
      <c r="REA77" s="44"/>
      <c r="REB77" s="44"/>
      <c r="REC77" s="44"/>
      <c r="RED77" s="44"/>
      <c r="REE77" s="44"/>
      <c r="REF77" s="44"/>
      <c r="REG77" s="44"/>
      <c r="REH77" s="44"/>
      <c r="REI77" s="44"/>
      <c r="REJ77" s="44"/>
      <c r="REK77" s="44"/>
      <c r="REL77" s="44"/>
      <c r="REM77" s="44"/>
      <c r="REN77" s="44"/>
      <c r="REO77" s="44"/>
      <c r="REP77" s="44"/>
      <c r="REQ77" s="44"/>
      <c r="RER77" s="44"/>
      <c r="RES77" s="44"/>
      <c r="RET77" s="44"/>
      <c r="REU77" s="44"/>
      <c r="REV77" s="44"/>
      <c r="REW77" s="44"/>
      <c r="REX77" s="44"/>
      <c r="REY77" s="44"/>
      <c r="REZ77" s="44"/>
      <c r="RFA77" s="44"/>
      <c r="RFB77" s="44"/>
      <c r="RFC77" s="44"/>
      <c r="RFD77" s="44"/>
      <c r="RFE77" s="44"/>
      <c r="RFF77" s="44"/>
      <c r="RFG77" s="44"/>
      <c r="RFH77" s="44"/>
      <c r="RFI77" s="44"/>
      <c r="RFJ77" s="44"/>
      <c r="RFK77" s="44"/>
      <c r="RFL77" s="44"/>
      <c r="RFM77" s="44"/>
      <c r="RFN77" s="44"/>
      <c r="RFO77" s="44"/>
      <c r="RFP77" s="44"/>
      <c r="RFQ77" s="44"/>
      <c r="RFR77" s="44"/>
      <c r="RFS77" s="44"/>
      <c r="RFT77" s="44"/>
      <c r="RFU77" s="44"/>
      <c r="RFV77" s="44"/>
      <c r="RFW77" s="44"/>
      <c r="RFX77" s="44"/>
      <c r="RFY77" s="44"/>
      <c r="RFZ77" s="44"/>
      <c r="RGA77" s="44"/>
      <c r="RGB77" s="44"/>
      <c r="RGC77" s="44"/>
      <c r="RGD77" s="44"/>
      <c r="RGE77" s="44"/>
      <c r="RGF77" s="44"/>
      <c r="RGG77" s="44"/>
      <c r="RGH77" s="44"/>
      <c r="RGI77" s="44"/>
      <c r="RGJ77" s="44"/>
      <c r="RGK77" s="44"/>
      <c r="RGL77" s="44"/>
      <c r="RGM77" s="44"/>
      <c r="RGN77" s="44"/>
      <c r="RGO77" s="44"/>
      <c r="RGP77" s="44"/>
      <c r="RGQ77" s="44"/>
      <c r="RGR77" s="44"/>
      <c r="RGS77" s="44"/>
      <c r="RGT77" s="44"/>
      <c r="RGU77" s="44"/>
      <c r="RGV77" s="44"/>
      <c r="RGW77" s="44"/>
      <c r="RGX77" s="44"/>
      <c r="RGY77" s="44"/>
      <c r="RGZ77" s="44"/>
      <c r="RHA77" s="44"/>
      <c r="RHB77" s="44"/>
      <c r="RHC77" s="44"/>
      <c r="RHD77" s="44"/>
      <c r="RHE77" s="44"/>
      <c r="RHF77" s="44"/>
      <c r="RHG77" s="44"/>
      <c r="RHH77" s="44"/>
      <c r="RHI77" s="44"/>
      <c r="RHJ77" s="44"/>
      <c r="RHK77" s="44"/>
      <c r="RHL77" s="44"/>
      <c r="RHM77" s="44"/>
      <c r="RHN77" s="44"/>
      <c r="RHO77" s="44"/>
      <c r="RHP77" s="44"/>
      <c r="RHQ77" s="44"/>
      <c r="RHR77" s="44"/>
      <c r="RHS77" s="44"/>
      <c r="RHT77" s="44"/>
      <c r="RHU77" s="44"/>
      <c r="RHV77" s="44"/>
      <c r="RHW77" s="44"/>
      <c r="RHX77" s="44"/>
      <c r="RHY77" s="44"/>
      <c r="RHZ77" s="44"/>
      <c r="RIA77" s="44"/>
      <c r="RIB77" s="44"/>
      <c r="RIC77" s="44"/>
      <c r="RID77" s="44"/>
      <c r="RIE77" s="44"/>
      <c r="RIF77" s="44"/>
      <c r="RIG77" s="44"/>
      <c r="RIH77" s="44"/>
      <c r="RII77" s="44"/>
      <c r="RIJ77" s="44"/>
      <c r="RIK77" s="44"/>
      <c r="RIL77" s="44"/>
      <c r="RIM77" s="44"/>
      <c r="RIN77" s="44"/>
      <c r="RIO77" s="44"/>
      <c r="RIP77" s="44"/>
      <c r="RIQ77" s="44"/>
      <c r="RIR77" s="44"/>
      <c r="RIS77" s="44"/>
      <c r="RIT77" s="44"/>
      <c r="RIU77" s="44"/>
      <c r="RIV77" s="44"/>
      <c r="RIW77" s="44"/>
      <c r="RIX77" s="44"/>
      <c r="RIY77" s="44"/>
      <c r="RIZ77" s="44"/>
      <c r="RJA77" s="44"/>
      <c r="RJB77" s="44"/>
      <c r="RJC77" s="44"/>
      <c r="RJD77" s="44"/>
      <c r="RJE77" s="44"/>
      <c r="RJF77" s="44"/>
      <c r="RJG77" s="44"/>
      <c r="RJH77" s="44"/>
      <c r="RJI77" s="44"/>
      <c r="RJJ77" s="44"/>
      <c r="RJK77" s="44"/>
      <c r="RJL77" s="44"/>
      <c r="RJM77" s="44"/>
      <c r="RJN77" s="44"/>
      <c r="RJO77" s="44"/>
      <c r="RJP77" s="44"/>
      <c r="RJQ77" s="44"/>
      <c r="RJR77" s="44"/>
      <c r="RJS77" s="44"/>
      <c r="RJT77" s="44"/>
      <c r="RJU77" s="44"/>
      <c r="RJV77" s="44"/>
      <c r="RJW77" s="44"/>
      <c r="RJX77" s="44"/>
      <c r="RJY77" s="44"/>
      <c r="RJZ77" s="44"/>
      <c r="RKA77" s="44"/>
      <c r="RKB77" s="44"/>
      <c r="RKC77" s="44"/>
      <c r="RKD77" s="44"/>
      <c r="RKE77" s="44"/>
      <c r="RKF77" s="44"/>
      <c r="RKG77" s="44"/>
      <c r="RKH77" s="44"/>
      <c r="RKI77" s="44"/>
      <c r="RKJ77" s="44"/>
      <c r="RKK77" s="44"/>
      <c r="RKL77" s="44"/>
      <c r="RKM77" s="44"/>
      <c r="RKN77" s="44"/>
      <c r="RKO77" s="44"/>
      <c r="RKP77" s="44"/>
      <c r="RKQ77" s="44"/>
      <c r="RKR77" s="44"/>
      <c r="RKS77" s="44"/>
      <c r="RKT77" s="44"/>
      <c r="RKU77" s="44"/>
      <c r="RKV77" s="44"/>
      <c r="RKW77" s="44"/>
      <c r="RKX77" s="44"/>
      <c r="RKY77" s="44"/>
      <c r="RKZ77" s="44"/>
      <c r="RLA77" s="44"/>
      <c r="RLB77" s="44"/>
      <c r="RLC77" s="44"/>
      <c r="RLD77" s="44"/>
      <c r="RLE77" s="44"/>
      <c r="RLF77" s="44"/>
      <c r="RLG77" s="44"/>
      <c r="RLH77" s="44"/>
      <c r="RLI77" s="44"/>
      <c r="RLJ77" s="44"/>
      <c r="RLK77" s="44"/>
      <c r="RLL77" s="44"/>
      <c r="RLM77" s="44"/>
      <c r="RLN77" s="44"/>
      <c r="RLO77" s="44"/>
      <c r="RLP77" s="44"/>
      <c r="RLQ77" s="44"/>
      <c r="RLR77" s="44"/>
      <c r="RLS77" s="44"/>
      <c r="RLT77" s="44"/>
      <c r="RLU77" s="44"/>
      <c r="RLV77" s="44"/>
      <c r="RLW77" s="44"/>
      <c r="RLX77" s="44"/>
      <c r="RLY77" s="44"/>
      <c r="RLZ77" s="44"/>
      <c r="RMA77" s="44"/>
      <c r="RMB77" s="44"/>
      <c r="RMC77" s="44"/>
      <c r="RMD77" s="44"/>
      <c r="RME77" s="44"/>
      <c r="RMF77" s="44"/>
      <c r="RMG77" s="44"/>
      <c r="RMH77" s="44"/>
      <c r="RMI77" s="44"/>
      <c r="RMJ77" s="44"/>
      <c r="RMK77" s="44"/>
      <c r="RML77" s="44"/>
      <c r="RMM77" s="44"/>
      <c r="RMN77" s="44"/>
      <c r="RMO77" s="44"/>
      <c r="RMP77" s="44"/>
      <c r="RMQ77" s="44"/>
      <c r="RMR77" s="44"/>
      <c r="RMS77" s="44"/>
      <c r="RMT77" s="44"/>
      <c r="RMU77" s="44"/>
      <c r="RMV77" s="44"/>
      <c r="RMW77" s="44"/>
      <c r="RMX77" s="44"/>
      <c r="RMY77" s="44"/>
      <c r="RMZ77" s="44"/>
      <c r="RNA77" s="44"/>
      <c r="RNB77" s="44"/>
      <c r="RNC77" s="44"/>
      <c r="RND77" s="44"/>
      <c r="RNE77" s="44"/>
      <c r="RNF77" s="44"/>
      <c r="RNG77" s="44"/>
      <c r="RNH77" s="44"/>
      <c r="RNI77" s="44"/>
      <c r="RNJ77" s="44"/>
      <c r="RNK77" s="44"/>
      <c r="RNL77" s="44"/>
      <c r="RNM77" s="44"/>
      <c r="RNN77" s="44"/>
      <c r="RNO77" s="44"/>
      <c r="RNP77" s="44"/>
      <c r="RNQ77" s="44"/>
      <c r="RNR77" s="44"/>
      <c r="RNS77" s="44"/>
      <c r="RNT77" s="44"/>
      <c r="RNU77" s="44"/>
      <c r="RNV77" s="44"/>
      <c r="RNW77" s="44"/>
      <c r="RNX77" s="44"/>
      <c r="RNY77" s="44"/>
      <c r="RNZ77" s="44"/>
      <c r="ROA77" s="44"/>
      <c r="ROB77" s="44"/>
      <c r="ROC77" s="44"/>
      <c r="ROD77" s="44"/>
      <c r="ROE77" s="44"/>
      <c r="ROF77" s="44"/>
      <c r="ROG77" s="44"/>
      <c r="ROH77" s="44"/>
      <c r="ROI77" s="44"/>
      <c r="ROJ77" s="44"/>
      <c r="ROK77" s="44"/>
      <c r="ROL77" s="44"/>
      <c r="ROM77" s="44"/>
      <c r="RON77" s="44"/>
      <c r="ROO77" s="44"/>
      <c r="ROP77" s="44"/>
      <c r="ROQ77" s="44"/>
      <c r="ROR77" s="44"/>
      <c r="ROS77" s="44"/>
      <c r="ROT77" s="44"/>
      <c r="ROU77" s="44"/>
      <c r="ROV77" s="44"/>
      <c r="ROW77" s="44"/>
      <c r="ROX77" s="44"/>
      <c r="ROY77" s="44"/>
      <c r="ROZ77" s="44"/>
      <c r="RPA77" s="44"/>
      <c r="RPB77" s="44"/>
      <c r="RPC77" s="44"/>
      <c r="RPD77" s="44"/>
      <c r="RPE77" s="44"/>
      <c r="RPF77" s="44"/>
      <c r="RPG77" s="44"/>
      <c r="RPH77" s="44"/>
      <c r="RPI77" s="44"/>
      <c r="RPJ77" s="44"/>
      <c r="RPK77" s="44"/>
      <c r="RPL77" s="44"/>
      <c r="RPM77" s="44"/>
      <c r="RPN77" s="44"/>
      <c r="RPO77" s="44"/>
      <c r="RPP77" s="44"/>
      <c r="RPQ77" s="44"/>
      <c r="RPR77" s="44"/>
      <c r="RPS77" s="44"/>
      <c r="RPT77" s="44"/>
      <c r="RPU77" s="44"/>
      <c r="RPV77" s="44"/>
      <c r="RPW77" s="44"/>
      <c r="RPX77" s="44"/>
      <c r="RPY77" s="44"/>
      <c r="RPZ77" s="44"/>
      <c r="RQA77" s="44"/>
      <c r="RQB77" s="44"/>
      <c r="RQC77" s="44"/>
      <c r="RQD77" s="44"/>
      <c r="RQE77" s="44"/>
      <c r="RQF77" s="44"/>
      <c r="RQG77" s="44"/>
      <c r="RQH77" s="44"/>
      <c r="RQI77" s="44"/>
      <c r="RQJ77" s="44"/>
      <c r="RQK77" s="44"/>
      <c r="RQL77" s="44"/>
      <c r="RQM77" s="44"/>
      <c r="RQN77" s="44"/>
      <c r="RQO77" s="44"/>
      <c r="RQP77" s="44"/>
      <c r="RQQ77" s="44"/>
      <c r="RQR77" s="44"/>
      <c r="RQS77" s="44"/>
      <c r="RQT77" s="44"/>
      <c r="RQU77" s="44"/>
      <c r="RQV77" s="44"/>
      <c r="RQW77" s="44"/>
      <c r="RQX77" s="44"/>
      <c r="RQY77" s="44"/>
      <c r="RQZ77" s="44"/>
      <c r="RRA77" s="44"/>
      <c r="RRB77" s="44"/>
      <c r="RRC77" s="44"/>
      <c r="RRD77" s="44"/>
      <c r="RRE77" s="44"/>
      <c r="RRF77" s="44"/>
      <c r="RRG77" s="44"/>
      <c r="RRH77" s="44"/>
      <c r="RRI77" s="44"/>
      <c r="RRJ77" s="44"/>
      <c r="RRK77" s="44"/>
      <c r="RRL77" s="44"/>
      <c r="RRM77" s="44"/>
      <c r="RRN77" s="44"/>
      <c r="RRO77" s="44"/>
      <c r="RRP77" s="44"/>
      <c r="RRQ77" s="44"/>
      <c r="RRR77" s="44"/>
      <c r="RRS77" s="44"/>
      <c r="RRT77" s="44"/>
      <c r="RRU77" s="44"/>
      <c r="RRV77" s="44"/>
      <c r="RRW77" s="44"/>
      <c r="RRX77" s="44"/>
      <c r="RRY77" s="44"/>
      <c r="RRZ77" s="44"/>
      <c r="RSA77" s="44"/>
      <c r="RSB77" s="44"/>
      <c r="RSC77" s="44"/>
      <c r="RSD77" s="44"/>
      <c r="RSE77" s="44"/>
      <c r="RSF77" s="44"/>
      <c r="RSG77" s="44"/>
      <c r="RSH77" s="44"/>
      <c r="RSI77" s="44"/>
      <c r="RSJ77" s="44"/>
      <c r="RSK77" s="44"/>
      <c r="RSL77" s="44"/>
      <c r="RSM77" s="44"/>
      <c r="RSN77" s="44"/>
      <c r="RSO77" s="44"/>
      <c r="RSP77" s="44"/>
      <c r="RSQ77" s="44"/>
      <c r="RSR77" s="44"/>
      <c r="RSS77" s="44"/>
      <c r="RST77" s="44"/>
      <c r="RSU77" s="44"/>
      <c r="RSV77" s="44"/>
      <c r="RSW77" s="44"/>
      <c r="RSX77" s="44"/>
      <c r="RSY77" s="44"/>
      <c r="RSZ77" s="44"/>
      <c r="RTA77" s="44"/>
      <c r="RTB77" s="44"/>
      <c r="RTC77" s="44"/>
      <c r="RTD77" s="44"/>
      <c r="RTE77" s="44"/>
      <c r="RTF77" s="44"/>
      <c r="RTG77" s="44"/>
      <c r="RTH77" s="44"/>
      <c r="RTI77" s="44"/>
      <c r="RTJ77" s="44"/>
      <c r="RTK77" s="44"/>
      <c r="RTL77" s="44"/>
      <c r="RTM77" s="44"/>
      <c r="RTN77" s="44"/>
      <c r="RTO77" s="44"/>
      <c r="RTP77" s="44"/>
      <c r="RTQ77" s="44"/>
      <c r="RTR77" s="44"/>
      <c r="RTS77" s="44"/>
      <c r="RTT77" s="44"/>
      <c r="RTU77" s="44"/>
      <c r="RTV77" s="44"/>
      <c r="RTW77" s="44"/>
      <c r="RTX77" s="44"/>
      <c r="RTY77" s="44"/>
      <c r="RTZ77" s="44"/>
      <c r="RUA77" s="44"/>
      <c r="RUB77" s="44"/>
      <c r="RUC77" s="44"/>
      <c r="RUD77" s="44"/>
      <c r="RUE77" s="44"/>
      <c r="RUF77" s="44"/>
      <c r="RUG77" s="44"/>
      <c r="RUH77" s="44"/>
      <c r="RUI77" s="44"/>
      <c r="RUJ77" s="44"/>
      <c r="RUK77" s="44"/>
      <c r="RUL77" s="44"/>
      <c r="RUM77" s="44"/>
      <c r="RUN77" s="44"/>
      <c r="RUO77" s="44"/>
      <c r="RUP77" s="44"/>
      <c r="RUQ77" s="44"/>
      <c r="RUR77" s="44"/>
      <c r="RUS77" s="44"/>
      <c r="RUT77" s="44"/>
      <c r="RUU77" s="44"/>
      <c r="RUV77" s="44"/>
      <c r="RUW77" s="44"/>
      <c r="RUX77" s="44"/>
      <c r="RUY77" s="44"/>
      <c r="RUZ77" s="44"/>
      <c r="RVA77" s="44"/>
      <c r="RVB77" s="44"/>
      <c r="RVC77" s="44"/>
      <c r="RVD77" s="44"/>
      <c r="RVE77" s="44"/>
      <c r="RVF77" s="44"/>
      <c r="RVG77" s="44"/>
      <c r="RVH77" s="44"/>
      <c r="RVI77" s="44"/>
      <c r="RVJ77" s="44"/>
      <c r="RVK77" s="44"/>
      <c r="RVL77" s="44"/>
      <c r="RVM77" s="44"/>
      <c r="RVN77" s="44"/>
      <c r="RVO77" s="44"/>
      <c r="RVP77" s="44"/>
      <c r="RVQ77" s="44"/>
      <c r="RVR77" s="44"/>
      <c r="RVS77" s="44"/>
      <c r="RVT77" s="44"/>
      <c r="RVU77" s="44"/>
      <c r="RVV77" s="44"/>
      <c r="RVW77" s="44"/>
      <c r="RVX77" s="44"/>
      <c r="RVY77" s="44"/>
      <c r="RVZ77" s="44"/>
      <c r="RWA77" s="44"/>
      <c r="RWB77" s="44"/>
      <c r="RWC77" s="44"/>
      <c r="RWD77" s="44"/>
      <c r="RWE77" s="44"/>
      <c r="RWF77" s="44"/>
      <c r="RWG77" s="44"/>
      <c r="RWH77" s="44"/>
      <c r="RWI77" s="44"/>
      <c r="RWJ77" s="44"/>
      <c r="RWK77" s="44"/>
      <c r="RWL77" s="44"/>
      <c r="RWM77" s="44"/>
      <c r="RWN77" s="44"/>
      <c r="RWO77" s="44"/>
      <c r="RWP77" s="44"/>
      <c r="RWQ77" s="44"/>
      <c r="RWR77" s="44"/>
      <c r="RWS77" s="44"/>
      <c r="RWT77" s="44"/>
      <c r="RWU77" s="44"/>
      <c r="RWV77" s="44"/>
      <c r="RWW77" s="44"/>
      <c r="RWX77" s="44"/>
      <c r="RWY77" s="44"/>
      <c r="RWZ77" s="44"/>
      <c r="RXA77" s="44"/>
      <c r="RXB77" s="44"/>
      <c r="RXC77" s="44"/>
      <c r="RXD77" s="44"/>
      <c r="RXE77" s="44"/>
      <c r="RXF77" s="44"/>
      <c r="RXG77" s="44"/>
      <c r="RXH77" s="44"/>
      <c r="RXI77" s="44"/>
      <c r="RXJ77" s="44"/>
      <c r="RXK77" s="44"/>
      <c r="RXL77" s="44"/>
      <c r="RXM77" s="44"/>
      <c r="RXN77" s="44"/>
      <c r="RXO77" s="44"/>
      <c r="RXP77" s="44"/>
      <c r="RXQ77" s="44"/>
      <c r="RXR77" s="44"/>
      <c r="RXS77" s="44"/>
      <c r="RXT77" s="44"/>
      <c r="RXU77" s="44"/>
      <c r="RXV77" s="44"/>
      <c r="RXW77" s="44"/>
      <c r="RXX77" s="44"/>
      <c r="RXY77" s="44"/>
      <c r="RXZ77" s="44"/>
      <c r="RYA77" s="44"/>
      <c r="RYB77" s="44"/>
      <c r="RYC77" s="44"/>
      <c r="RYD77" s="44"/>
      <c r="RYE77" s="44"/>
      <c r="RYF77" s="44"/>
      <c r="RYG77" s="44"/>
      <c r="RYH77" s="44"/>
      <c r="RYI77" s="44"/>
      <c r="RYJ77" s="44"/>
      <c r="RYK77" s="44"/>
      <c r="RYL77" s="44"/>
      <c r="RYM77" s="44"/>
      <c r="RYN77" s="44"/>
      <c r="RYO77" s="44"/>
      <c r="RYP77" s="44"/>
      <c r="RYQ77" s="44"/>
      <c r="RYR77" s="44"/>
      <c r="RYS77" s="44"/>
      <c r="RYT77" s="44"/>
      <c r="RYU77" s="44"/>
      <c r="RYV77" s="44"/>
      <c r="RYW77" s="44"/>
      <c r="RYX77" s="44"/>
      <c r="RYY77" s="44"/>
      <c r="RYZ77" s="44"/>
      <c r="RZA77" s="44"/>
      <c r="RZB77" s="44"/>
      <c r="RZC77" s="44"/>
      <c r="RZD77" s="44"/>
      <c r="RZE77" s="44"/>
      <c r="RZF77" s="44"/>
      <c r="RZG77" s="44"/>
      <c r="RZH77" s="44"/>
      <c r="RZI77" s="44"/>
      <c r="RZJ77" s="44"/>
      <c r="RZK77" s="44"/>
      <c r="RZL77" s="44"/>
      <c r="RZM77" s="44"/>
      <c r="RZN77" s="44"/>
      <c r="RZO77" s="44"/>
      <c r="RZP77" s="44"/>
      <c r="RZQ77" s="44"/>
      <c r="RZR77" s="44"/>
      <c r="RZS77" s="44"/>
      <c r="RZT77" s="44"/>
      <c r="RZU77" s="44"/>
      <c r="RZV77" s="44"/>
      <c r="RZW77" s="44"/>
      <c r="RZX77" s="44"/>
      <c r="RZY77" s="44"/>
      <c r="RZZ77" s="44"/>
      <c r="SAA77" s="44"/>
      <c r="SAB77" s="44"/>
      <c r="SAC77" s="44"/>
      <c r="SAD77" s="44"/>
      <c r="SAE77" s="44"/>
      <c r="SAF77" s="44"/>
      <c r="SAG77" s="44"/>
      <c r="SAH77" s="44"/>
      <c r="SAI77" s="44"/>
      <c r="SAJ77" s="44"/>
      <c r="SAK77" s="44"/>
      <c r="SAL77" s="44"/>
      <c r="SAM77" s="44"/>
      <c r="SAN77" s="44"/>
      <c r="SAO77" s="44"/>
      <c r="SAP77" s="44"/>
      <c r="SAQ77" s="44"/>
      <c r="SAR77" s="44"/>
      <c r="SAS77" s="44"/>
      <c r="SAT77" s="44"/>
      <c r="SAU77" s="44"/>
      <c r="SAV77" s="44"/>
      <c r="SAW77" s="44"/>
      <c r="SAX77" s="44"/>
      <c r="SAY77" s="44"/>
      <c r="SAZ77" s="44"/>
      <c r="SBA77" s="44"/>
      <c r="SBB77" s="44"/>
      <c r="SBC77" s="44"/>
      <c r="SBD77" s="44"/>
      <c r="SBE77" s="44"/>
      <c r="SBF77" s="44"/>
      <c r="SBG77" s="44"/>
      <c r="SBH77" s="44"/>
      <c r="SBI77" s="44"/>
      <c r="SBJ77" s="44"/>
      <c r="SBK77" s="44"/>
      <c r="SBL77" s="44"/>
      <c r="SBM77" s="44"/>
      <c r="SBN77" s="44"/>
      <c r="SBO77" s="44"/>
      <c r="SBP77" s="44"/>
      <c r="SBQ77" s="44"/>
      <c r="SBR77" s="44"/>
      <c r="SBS77" s="44"/>
      <c r="SBT77" s="44"/>
      <c r="SBU77" s="44"/>
      <c r="SBV77" s="44"/>
      <c r="SBW77" s="44"/>
      <c r="SBX77" s="44"/>
      <c r="SBY77" s="44"/>
      <c r="SBZ77" s="44"/>
      <c r="SCA77" s="44"/>
      <c r="SCB77" s="44"/>
      <c r="SCC77" s="44"/>
      <c r="SCD77" s="44"/>
      <c r="SCE77" s="44"/>
      <c r="SCF77" s="44"/>
      <c r="SCG77" s="44"/>
      <c r="SCH77" s="44"/>
      <c r="SCI77" s="44"/>
      <c r="SCJ77" s="44"/>
      <c r="SCK77" s="44"/>
      <c r="SCL77" s="44"/>
      <c r="SCM77" s="44"/>
      <c r="SCN77" s="44"/>
      <c r="SCO77" s="44"/>
      <c r="SCP77" s="44"/>
      <c r="SCQ77" s="44"/>
      <c r="SCR77" s="44"/>
      <c r="SCS77" s="44"/>
      <c r="SCT77" s="44"/>
      <c r="SCU77" s="44"/>
      <c r="SCV77" s="44"/>
      <c r="SCW77" s="44"/>
      <c r="SCX77" s="44"/>
      <c r="SCY77" s="44"/>
      <c r="SCZ77" s="44"/>
      <c r="SDA77" s="44"/>
      <c r="SDB77" s="44"/>
      <c r="SDC77" s="44"/>
      <c r="SDD77" s="44"/>
      <c r="SDE77" s="44"/>
      <c r="SDF77" s="44"/>
      <c r="SDG77" s="44"/>
      <c r="SDH77" s="44"/>
      <c r="SDI77" s="44"/>
      <c r="SDJ77" s="44"/>
      <c r="SDK77" s="44"/>
      <c r="SDL77" s="44"/>
      <c r="SDM77" s="44"/>
      <c r="SDN77" s="44"/>
      <c r="SDO77" s="44"/>
      <c r="SDP77" s="44"/>
      <c r="SDQ77" s="44"/>
      <c r="SDR77" s="44"/>
      <c r="SDS77" s="44"/>
      <c r="SDT77" s="44"/>
      <c r="SDU77" s="44"/>
      <c r="SDV77" s="44"/>
      <c r="SDW77" s="44"/>
      <c r="SDX77" s="44"/>
      <c r="SDY77" s="44"/>
      <c r="SDZ77" s="44"/>
      <c r="SEA77" s="44"/>
      <c r="SEB77" s="44"/>
      <c r="SEC77" s="44"/>
      <c r="SED77" s="44"/>
      <c r="SEE77" s="44"/>
      <c r="SEF77" s="44"/>
      <c r="SEG77" s="44"/>
      <c r="SEH77" s="44"/>
      <c r="SEI77" s="44"/>
      <c r="SEJ77" s="44"/>
      <c r="SEK77" s="44"/>
      <c r="SEL77" s="44"/>
      <c r="SEM77" s="44"/>
      <c r="SEN77" s="44"/>
      <c r="SEO77" s="44"/>
      <c r="SEP77" s="44"/>
      <c r="SEQ77" s="44"/>
      <c r="SER77" s="44"/>
      <c r="SES77" s="44"/>
      <c r="SET77" s="44"/>
      <c r="SEU77" s="44"/>
      <c r="SEV77" s="44"/>
      <c r="SEW77" s="44"/>
      <c r="SEX77" s="44"/>
      <c r="SEY77" s="44"/>
      <c r="SEZ77" s="44"/>
      <c r="SFA77" s="44"/>
      <c r="SFB77" s="44"/>
      <c r="SFC77" s="44"/>
      <c r="SFD77" s="44"/>
      <c r="SFE77" s="44"/>
      <c r="SFF77" s="44"/>
      <c r="SFG77" s="44"/>
      <c r="SFH77" s="44"/>
      <c r="SFI77" s="44"/>
      <c r="SFJ77" s="44"/>
      <c r="SFK77" s="44"/>
      <c r="SFL77" s="44"/>
      <c r="SFM77" s="44"/>
      <c r="SFN77" s="44"/>
      <c r="SFO77" s="44"/>
      <c r="SFP77" s="44"/>
      <c r="SFQ77" s="44"/>
      <c r="SFR77" s="44"/>
      <c r="SFS77" s="44"/>
      <c r="SFT77" s="44"/>
      <c r="SFU77" s="44"/>
      <c r="SFV77" s="44"/>
      <c r="SFW77" s="44"/>
      <c r="SFX77" s="44"/>
      <c r="SFY77" s="44"/>
      <c r="SFZ77" s="44"/>
      <c r="SGA77" s="44"/>
      <c r="SGB77" s="44"/>
      <c r="SGC77" s="44"/>
      <c r="SGD77" s="44"/>
      <c r="SGE77" s="44"/>
      <c r="SGF77" s="44"/>
      <c r="SGG77" s="44"/>
      <c r="SGH77" s="44"/>
      <c r="SGI77" s="44"/>
      <c r="SGJ77" s="44"/>
      <c r="SGK77" s="44"/>
      <c r="SGL77" s="44"/>
      <c r="SGM77" s="44"/>
      <c r="SGN77" s="44"/>
      <c r="SGO77" s="44"/>
      <c r="SGP77" s="44"/>
      <c r="SGQ77" s="44"/>
      <c r="SGR77" s="44"/>
      <c r="SGS77" s="44"/>
      <c r="SGT77" s="44"/>
      <c r="SGU77" s="44"/>
      <c r="SGV77" s="44"/>
      <c r="SGW77" s="44"/>
      <c r="SGX77" s="44"/>
      <c r="SGY77" s="44"/>
      <c r="SGZ77" s="44"/>
      <c r="SHA77" s="44"/>
      <c r="SHB77" s="44"/>
      <c r="SHC77" s="44"/>
      <c r="SHD77" s="44"/>
      <c r="SHE77" s="44"/>
      <c r="SHF77" s="44"/>
      <c r="SHG77" s="44"/>
      <c r="SHH77" s="44"/>
      <c r="SHI77" s="44"/>
      <c r="SHJ77" s="44"/>
      <c r="SHK77" s="44"/>
      <c r="SHL77" s="44"/>
      <c r="SHM77" s="44"/>
      <c r="SHN77" s="44"/>
      <c r="SHO77" s="44"/>
      <c r="SHP77" s="44"/>
      <c r="SHQ77" s="44"/>
      <c r="SHR77" s="44"/>
      <c r="SHS77" s="44"/>
      <c r="SHT77" s="44"/>
      <c r="SHU77" s="44"/>
      <c r="SHV77" s="44"/>
      <c r="SHW77" s="44"/>
      <c r="SHX77" s="44"/>
      <c r="SHY77" s="44"/>
      <c r="SHZ77" s="44"/>
      <c r="SIA77" s="44"/>
      <c r="SIB77" s="44"/>
      <c r="SIC77" s="44"/>
      <c r="SID77" s="44"/>
      <c r="SIE77" s="44"/>
      <c r="SIF77" s="44"/>
      <c r="SIG77" s="44"/>
      <c r="SIH77" s="44"/>
      <c r="SII77" s="44"/>
      <c r="SIJ77" s="44"/>
      <c r="SIK77" s="44"/>
      <c r="SIL77" s="44"/>
      <c r="SIM77" s="44"/>
      <c r="SIN77" s="44"/>
      <c r="SIO77" s="44"/>
      <c r="SIP77" s="44"/>
      <c r="SIQ77" s="44"/>
      <c r="SIR77" s="44"/>
      <c r="SIS77" s="44"/>
      <c r="SIT77" s="44"/>
      <c r="SIU77" s="44"/>
      <c r="SIV77" s="44"/>
      <c r="SIW77" s="44"/>
      <c r="SIX77" s="44"/>
      <c r="SIY77" s="44"/>
      <c r="SIZ77" s="44"/>
      <c r="SJA77" s="44"/>
      <c r="SJB77" s="44"/>
      <c r="SJC77" s="44"/>
      <c r="SJD77" s="44"/>
      <c r="SJE77" s="44"/>
      <c r="SJF77" s="44"/>
      <c r="SJG77" s="44"/>
      <c r="SJH77" s="44"/>
      <c r="SJI77" s="44"/>
      <c r="SJJ77" s="44"/>
      <c r="SJK77" s="44"/>
      <c r="SJL77" s="44"/>
      <c r="SJM77" s="44"/>
      <c r="SJN77" s="44"/>
      <c r="SJO77" s="44"/>
      <c r="SJP77" s="44"/>
      <c r="SJQ77" s="44"/>
      <c r="SJR77" s="44"/>
      <c r="SJS77" s="44"/>
      <c r="SJT77" s="44"/>
      <c r="SJU77" s="44"/>
      <c r="SJV77" s="44"/>
      <c r="SJW77" s="44"/>
      <c r="SJX77" s="44"/>
      <c r="SJY77" s="44"/>
      <c r="SJZ77" s="44"/>
      <c r="SKA77" s="44"/>
      <c r="SKB77" s="44"/>
      <c r="SKC77" s="44"/>
      <c r="SKD77" s="44"/>
      <c r="SKE77" s="44"/>
      <c r="SKF77" s="44"/>
      <c r="SKG77" s="44"/>
      <c r="SKH77" s="44"/>
      <c r="SKI77" s="44"/>
      <c r="SKJ77" s="44"/>
      <c r="SKK77" s="44"/>
      <c r="SKL77" s="44"/>
      <c r="SKM77" s="44"/>
      <c r="SKN77" s="44"/>
      <c r="SKO77" s="44"/>
      <c r="SKP77" s="44"/>
      <c r="SKQ77" s="44"/>
      <c r="SKR77" s="44"/>
      <c r="SKS77" s="44"/>
      <c r="SKT77" s="44"/>
      <c r="SKU77" s="44"/>
      <c r="SKV77" s="44"/>
      <c r="SKW77" s="44"/>
      <c r="SKX77" s="44"/>
      <c r="SKY77" s="44"/>
      <c r="SKZ77" s="44"/>
      <c r="SLA77" s="44"/>
      <c r="SLB77" s="44"/>
      <c r="SLC77" s="44"/>
      <c r="SLD77" s="44"/>
      <c r="SLE77" s="44"/>
      <c r="SLF77" s="44"/>
      <c r="SLG77" s="44"/>
      <c r="SLH77" s="44"/>
      <c r="SLI77" s="44"/>
      <c r="SLJ77" s="44"/>
      <c r="SLK77" s="44"/>
      <c r="SLL77" s="44"/>
      <c r="SLM77" s="44"/>
      <c r="SLN77" s="44"/>
      <c r="SLO77" s="44"/>
      <c r="SLP77" s="44"/>
      <c r="SLQ77" s="44"/>
      <c r="SLR77" s="44"/>
      <c r="SLS77" s="44"/>
      <c r="SLT77" s="44"/>
      <c r="SLU77" s="44"/>
      <c r="SLV77" s="44"/>
      <c r="SLW77" s="44"/>
      <c r="SLX77" s="44"/>
      <c r="SLY77" s="44"/>
      <c r="SLZ77" s="44"/>
      <c r="SMA77" s="44"/>
      <c r="SMB77" s="44"/>
      <c r="SMC77" s="44"/>
      <c r="SMD77" s="44"/>
      <c r="SME77" s="44"/>
      <c r="SMF77" s="44"/>
      <c r="SMG77" s="44"/>
      <c r="SMH77" s="44"/>
      <c r="SMI77" s="44"/>
      <c r="SMJ77" s="44"/>
      <c r="SMK77" s="44"/>
      <c r="SML77" s="44"/>
      <c r="SMM77" s="44"/>
      <c r="SMN77" s="44"/>
      <c r="SMO77" s="44"/>
      <c r="SMP77" s="44"/>
      <c r="SMQ77" s="44"/>
      <c r="SMR77" s="44"/>
      <c r="SMS77" s="44"/>
      <c r="SMT77" s="44"/>
      <c r="SMU77" s="44"/>
      <c r="SMV77" s="44"/>
      <c r="SMW77" s="44"/>
      <c r="SMX77" s="44"/>
      <c r="SMY77" s="44"/>
      <c r="SMZ77" s="44"/>
      <c r="SNA77" s="44"/>
      <c r="SNB77" s="44"/>
      <c r="SNC77" s="44"/>
      <c r="SND77" s="44"/>
      <c r="SNE77" s="44"/>
      <c r="SNF77" s="44"/>
      <c r="SNG77" s="44"/>
      <c r="SNH77" s="44"/>
      <c r="SNI77" s="44"/>
      <c r="SNJ77" s="44"/>
      <c r="SNK77" s="44"/>
      <c r="SNL77" s="44"/>
      <c r="SNM77" s="44"/>
      <c r="SNN77" s="44"/>
      <c r="SNO77" s="44"/>
      <c r="SNP77" s="44"/>
      <c r="SNQ77" s="44"/>
      <c r="SNR77" s="44"/>
      <c r="SNS77" s="44"/>
      <c r="SNT77" s="44"/>
      <c r="SNU77" s="44"/>
      <c r="SNV77" s="44"/>
      <c r="SNW77" s="44"/>
      <c r="SNX77" s="44"/>
      <c r="SNY77" s="44"/>
      <c r="SNZ77" s="44"/>
      <c r="SOA77" s="44"/>
      <c r="SOB77" s="44"/>
      <c r="SOC77" s="44"/>
      <c r="SOD77" s="44"/>
      <c r="SOE77" s="44"/>
      <c r="SOF77" s="44"/>
      <c r="SOG77" s="44"/>
      <c r="SOH77" s="44"/>
      <c r="SOI77" s="44"/>
      <c r="SOJ77" s="44"/>
      <c r="SOK77" s="44"/>
      <c r="SOL77" s="44"/>
      <c r="SOM77" s="44"/>
      <c r="SON77" s="44"/>
      <c r="SOO77" s="44"/>
      <c r="SOP77" s="44"/>
      <c r="SOQ77" s="44"/>
      <c r="SOR77" s="44"/>
      <c r="SOS77" s="44"/>
      <c r="SOT77" s="44"/>
      <c r="SOU77" s="44"/>
      <c r="SOV77" s="44"/>
      <c r="SOW77" s="44"/>
      <c r="SOX77" s="44"/>
      <c r="SOY77" s="44"/>
      <c r="SOZ77" s="44"/>
      <c r="SPA77" s="44"/>
      <c r="SPB77" s="44"/>
      <c r="SPC77" s="44"/>
      <c r="SPD77" s="44"/>
      <c r="SPE77" s="44"/>
      <c r="SPF77" s="44"/>
      <c r="SPG77" s="44"/>
      <c r="SPH77" s="44"/>
      <c r="SPI77" s="44"/>
      <c r="SPJ77" s="44"/>
      <c r="SPK77" s="44"/>
      <c r="SPL77" s="44"/>
      <c r="SPM77" s="44"/>
      <c r="SPN77" s="44"/>
      <c r="SPO77" s="44"/>
      <c r="SPP77" s="44"/>
      <c r="SPQ77" s="44"/>
      <c r="SPR77" s="44"/>
      <c r="SPS77" s="44"/>
      <c r="SPT77" s="44"/>
      <c r="SPU77" s="44"/>
      <c r="SPV77" s="44"/>
      <c r="SPW77" s="44"/>
      <c r="SPX77" s="44"/>
      <c r="SPY77" s="44"/>
      <c r="SPZ77" s="44"/>
      <c r="SQA77" s="44"/>
      <c r="SQB77" s="44"/>
      <c r="SQC77" s="44"/>
      <c r="SQD77" s="44"/>
      <c r="SQE77" s="44"/>
      <c r="SQF77" s="44"/>
      <c r="SQG77" s="44"/>
      <c r="SQH77" s="44"/>
      <c r="SQI77" s="44"/>
      <c r="SQJ77" s="44"/>
      <c r="SQK77" s="44"/>
      <c r="SQL77" s="44"/>
      <c r="SQM77" s="44"/>
      <c r="SQN77" s="44"/>
      <c r="SQO77" s="44"/>
      <c r="SQP77" s="44"/>
      <c r="SQQ77" s="44"/>
      <c r="SQR77" s="44"/>
      <c r="SQS77" s="44"/>
      <c r="SQT77" s="44"/>
      <c r="SQU77" s="44"/>
      <c r="SQV77" s="44"/>
      <c r="SQW77" s="44"/>
      <c r="SQX77" s="44"/>
      <c r="SQY77" s="44"/>
      <c r="SQZ77" s="44"/>
      <c r="SRA77" s="44"/>
      <c r="SRB77" s="44"/>
      <c r="SRC77" s="44"/>
      <c r="SRD77" s="44"/>
      <c r="SRE77" s="44"/>
      <c r="SRF77" s="44"/>
      <c r="SRG77" s="44"/>
      <c r="SRH77" s="44"/>
      <c r="SRI77" s="44"/>
      <c r="SRJ77" s="44"/>
      <c r="SRK77" s="44"/>
      <c r="SRL77" s="44"/>
      <c r="SRM77" s="44"/>
      <c r="SRN77" s="44"/>
      <c r="SRO77" s="44"/>
      <c r="SRP77" s="44"/>
      <c r="SRQ77" s="44"/>
      <c r="SRR77" s="44"/>
      <c r="SRS77" s="44"/>
      <c r="SRT77" s="44"/>
      <c r="SRU77" s="44"/>
      <c r="SRV77" s="44"/>
      <c r="SRW77" s="44"/>
      <c r="SRX77" s="44"/>
      <c r="SRY77" s="44"/>
      <c r="SRZ77" s="44"/>
      <c r="SSA77" s="44"/>
      <c r="SSB77" s="44"/>
      <c r="SSC77" s="44"/>
      <c r="SSD77" s="44"/>
      <c r="SSE77" s="44"/>
      <c r="SSF77" s="44"/>
      <c r="SSG77" s="44"/>
      <c r="SSH77" s="44"/>
      <c r="SSI77" s="44"/>
      <c r="SSJ77" s="44"/>
      <c r="SSK77" s="44"/>
      <c r="SSL77" s="44"/>
      <c r="SSM77" s="44"/>
      <c r="SSN77" s="44"/>
      <c r="SSO77" s="44"/>
      <c r="SSP77" s="44"/>
      <c r="SSQ77" s="44"/>
      <c r="SSR77" s="44"/>
      <c r="SSS77" s="44"/>
      <c r="SST77" s="44"/>
      <c r="SSU77" s="44"/>
      <c r="SSV77" s="44"/>
      <c r="SSW77" s="44"/>
      <c r="SSX77" s="44"/>
      <c r="SSY77" s="44"/>
      <c r="SSZ77" s="44"/>
      <c r="STA77" s="44"/>
      <c r="STB77" s="44"/>
      <c r="STC77" s="44"/>
      <c r="STD77" s="44"/>
      <c r="STE77" s="44"/>
      <c r="STF77" s="44"/>
      <c r="STG77" s="44"/>
      <c r="STH77" s="44"/>
      <c r="STI77" s="44"/>
      <c r="STJ77" s="44"/>
      <c r="STK77" s="44"/>
      <c r="STL77" s="44"/>
      <c r="STM77" s="44"/>
      <c r="STN77" s="44"/>
      <c r="STO77" s="44"/>
      <c r="STP77" s="44"/>
      <c r="STQ77" s="44"/>
      <c r="STR77" s="44"/>
      <c r="STS77" s="44"/>
      <c r="STT77" s="44"/>
      <c r="STU77" s="44"/>
      <c r="STV77" s="44"/>
      <c r="STW77" s="44"/>
      <c r="STX77" s="44"/>
      <c r="STY77" s="44"/>
      <c r="STZ77" s="44"/>
      <c r="SUA77" s="44"/>
      <c r="SUB77" s="44"/>
      <c r="SUC77" s="44"/>
      <c r="SUD77" s="44"/>
      <c r="SUE77" s="44"/>
      <c r="SUF77" s="44"/>
      <c r="SUG77" s="44"/>
      <c r="SUH77" s="44"/>
      <c r="SUI77" s="44"/>
      <c r="SUJ77" s="44"/>
      <c r="SUK77" s="44"/>
      <c r="SUL77" s="44"/>
      <c r="SUM77" s="44"/>
      <c r="SUN77" s="44"/>
      <c r="SUO77" s="44"/>
      <c r="SUP77" s="44"/>
      <c r="SUQ77" s="44"/>
      <c r="SUR77" s="44"/>
      <c r="SUS77" s="44"/>
      <c r="SUT77" s="44"/>
      <c r="SUU77" s="44"/>
      <c r="SUV77" s="44"/>
      <c r="SUW77" s="44"/>
      <c r="SUX77" s="44"/>
      <c r="SUY77" s="44"/>
      <c r="SUZ77" s="44"/>
      <c r="SVA77" s="44"/>
      <c r="SVB77" s="44"/>
      <c r="SVC77" s="44"/>
      <c r="SVD77" s="44"/>
      <c r="SVE77" s="44"/>
      <c r="SVF77" s="44"/>
      <c r="SVG77" s="44"/>
      <c r="SVH77" s="44"/>
      <c r="SVI77" s="44"/>
      <c r="SVJ77" s="44"/>
      <c r="SVK77" s="44"/>
      <c r="SVL77" s="44"/>
      <c r="SVM77" s="44"/>
      <c r="SVN77" s="44"/>
      <c r="SVO77" s="44"/>
      <c r="SVP77" s="44"/>
      <c r="SVQ77" s="44"/>
      <c r="SVR77" s="44"/>
      <c r="SVS77" s="44"/>
      <c r="SVT77" s="44"/>
      <c r="SVU77" s="44"/>
      <c r="SVV77" s="44"/>
      <c r="SVW77" s="44"/>
      <c r="SVX77" s="44"/>
      <c r="SVY77" s="44"/>
      <c r="SVZ77" s="44"/>
      <c r="SWA77" s="44"/>
      <c r="SWB77" s="44"/>
      <c r="SWC77" s="44"/>
      <c r="SWD77" s="44"/>
      <c r="SWE77" s="44"/>
      <c r="SWF77" s="44"/>
      <c r="SWG77" s="44"/>
      <c r="SWH77" s="44"/>
      <c r="SWI77" s="44"/>
      <c r="SWJ77" s="44"/>
      <c r="SWK77" s="44"/>
      <c r="SWL77" s="44"/>
      <c r="SWM77" s="44"/>
      <c r="SWN77" s="44"/>
      <c r="SWO77" s="44"/>
      <c r="SWP77" s="44"/>
      <c r="SWQ77" s="44"/>
      <c r="SWR77" s="44"/>
      <c r="SWS77" s="44"/>
      <c r="SWT77" s="44"/>
      <c r="SWU77" s="44"/>
      <c r="SWV77" s="44"/>
      <c r="SWW77" s="44"/>
      <c r="SWX77" s="44"/>
      <c r="SWY77" s="44"/>
      <c r="SWZ77" s="44"/>
      <c r="SXA77" s="44"/>
      <c r="SXB77" s="44"/>
      <c r="SXC77" s="44"/>
      <c r="SXD77" s="44"/>
      <c r="SXE77" s="44"/>
      <c r="SXF77" s="44"/>
      <c r="SXG77" s="44"/>
      <c r="SXH77" s="44"/>
      <c r="SXI77" s="44"/>
      <c r="SXJ77" s="44"/>
      <c r="SXK77" s="44"/>
      <c r="SXL77" s="44"/>
      <c r="SXM77" s="44"/>
      <c r="SXN77" s="44"/>
      <c r="SXO77" s="44"/>
      <c r="SXP77" s="44"/>
      <c r="SXQ77" s="44"/>
      <c r="SXR77" s="44"/>
      <c r="SXS77" s="44"/>
      <c r="SXT77" s="44"/>
      <c r="SXU77" s="44"/>
      <c r="SXV77" s="44"/>
      <c r="SXW77" s="44"/>
      <c r="SXX77" s="44"/>
      <c r="SXY77" s="44"/>
      <c r="SXZ77" s="44"/>
      <c r="SYA77" s="44"/>
      <c r="SYB77" s="44"/>
      <c r="SYC77" s="44"/>
      <c r="SYD77" s="44"/>
      <c r="SYE77" s="44"/>
      <c r="SYF77" s="44"/>
      <c r="SYG77" s="44"/>
      <c r="SYH77" s="44"/>
      <c r="SYI77" s="44"/>
      <c r="SYJ77" s="44"/>
      <c r="SYK77" s="44"/>
      <c r="SYL77" s="44"/>
      <c r="SYM77" s="44"/>
      <c r="SYN77" s="44"/>
      <c r="SYO77" s="44"/>
      <c r="SYP77" s="44"/>
      <c r="SYQ77" s="44"/>
      <c r="SYR77" s="44"/>
      <c r="SYS77" s="44"/>
      <c r="SYT77" s="44"/>
      <c r="SYU77" s="44"/>
      <c r="SYV77" s="44"/>
      <c r="SYW77" s="44"/>
      <c r="SYX77" s="44"/>
      <c r="SYY77" s="44"/>
      <c r="SYZ77" s="44"/>
      <c r="SZA77" s="44"/>
      <c r="SZB77" s="44"/>
      <c r="SZC77" s="44"/>
      <c r="SZD77" s="44"/>
      <c r="SZE77" s="44"/>
      <c r="SZF77" s="44"/>
      <c r="SZG77" s="44"/>
      <c r="SZH77" s="44"/>
      <c r="SZI77" s="44"/>
      <c r="SZJ77" s="44"/>
      <c r="SZK77" s="44"/>
      <c r="SZL77" s="44"/>
      <c r="SZM77" s="44"/>
      <c r="SZN77" s="44"/>
      <c r="SZO77" s="44"/>
      <c r="SZP77" s="44"/>
      <c r="SZQ77" s="44"/>
      <c r="SZR77" s="44"/>
      <c r="SZS77" s="44"/>
      <c r="SZT77" s="44"/>
      <c r="SZU77" s="44"/>
      <c r="SZV77" s="44"/>
      <c r="SZW77" s="44"/>
      <c r="SZX77" s="44"/>
      <c r="SZY77" s="44"/>
      <c r="SZZ77" s="44"/>
      <c r="TAA77" s="44"/>
      <c r="TAB77" s="44"/>
      <c r="TAC77" s="44"/>
      <c r="TAD77" s="44"/>
      <c r="TAE77" s="44"/>
      <c r="TAF77" s="44"/>
      <c r="TAG77" s="44"/>
      <c r="TAH77" s="44"/>
      <c r="TAI77" s="44"/>
      <c r="TAJ77" s="44"/>
      <c r="TAK77" s="44"/>
      <c r="TAL77" s="44"/>
      <c r="TAM77" s="44"/>
      <c r="TAN77" s="44"/>
      <c r="TAO77" s="44"/>
      <c r="TAP77" s="44"/>
      <c r="TAQ77" s="44"/>
      <c r="TAR77" s="44"/>
      <c r="TAS77" s="44"/>
      <c r="TAT77" s="44"/>
      <c r="TAU77" s="44"/>
      <c r="TAV77" s="44"/>
      <c r="TAW77" s="44"/>
      <c r="TAX77" s="44"/>
      <c r="TAY77" s="44"/>
      <c r="TAZ77" s="44"/>
      <c r="TBA77" s="44"/>
      <c r="TBB77" s="44"/>
      <c r="TBC77" s="44"/>
      <c r="TBD77" s="44"/>
      <c r="TBE77" s="44"/>
      <c r="TBF77" s="44"/>
      <c r="TBG77" s="44"/>
      <c r="TBH77" s="44"/>
      <c r="TBI77" s="44"/>
      <c r="TBJ77" s="44"/>
      <c r="TBK77" s="44"/>
      <c r="TBL77" s="44"/>
      <c r="TBM77" s="44"/>
      <c r="TBN77" s="44"/>
      <c r="TBO77" s="44"/>
      <c r="TBP77" s="44"/>
      <c r="TBQ77" s="44"/>
      <c r="TBR77" s="44"/>
      <c r="TBS77" s="44"/>
      <c r="TBT77" s="44"/>
      <c r="TBU77" s="44"/>
      <c r="TBV77" s="44"/>
      <c r="TBW77" s="44"/>
      <c r="TBX77" s="44"/>
      <c r="TBY77" s="44"/>
      <c r="TBZ77" s="44"/>
      <c r="TCA77" s="44"/>
      <c r="TCB77" s="44"/>
      <c r="TCC77" s="44"/>
      <c r="TCD77" s="44"/>
      <c r="TCE77" s="44"/>
      <c r="TCF77" s="44"/>
      <c r="TCG77" s="44"/>
      <c r="TCH77" s="44"/>
      <c r="TCI77" s="44"/>
      <c r="TCJ77" s="44"/>
      <c r="TCK77" s="44"/>
      <c r="TCL77" s="44"/>
      <c r="TCM77" s="44"/>
      <c r="TCN77" s="44"/>
      <c r="TCO77" s="44"/>
      <c r="TCP77" s="44"/>
      <c r="TCQ77" s="44"/>
      <c r="TCR77" s="44"/>
      <c r="TCS77" s="44"/>
      <c r="TCT77" s="44"/>
      <c r="TCU77" s="44"/>
      <c r="TCV77" s="44"/>
      <c r="TCW77" s="44"/>
      <c r="TCX77" s="44"/>
      <c r="TCY77" s="44"/>
      <c r="TCZ77" s="44"/>
      <c r="TDA77" s="44"/>
      <c r="TDB77" s="44"/>
      <c r="TDC77" s="44"/>
      <c r="TDD77" s="44"/>
      <c r="TDE77" s="44"/>
      <c r="TDF77" s="44"/>
      <c r="TDG77" s="44"/>
      <c r="TDH77" s="44"/>
      <c r="TDI77" s="44"/>
      <c r="TDJ77" s="44"/>
      <c r="TDK77" s="44"/>
      <c r="TDL77" s="44"/>
      <c r="TDM77" s="44"/>
      <c r="TDN77" s="44"/>
      <c r="TDO77" s="44"/>
      <c r="TDP77" s="44"/>
      <c r="TDQ77" s="44"/>
      <c r="TDR77" s="44"/>
      <c r="TDS77" s="44"/>
      <c r="TDT77" s="44"/>
      <c r="TDU77" s="44"/>
      <c r="TDV77" s="44"/>
      <c r="TDW77" s="44"/>
      <c r="TDX77" s="44"/>
      <c r="TDY77" s="44"/>
      <c r="TDZ77" s="44"/>
      <c r="TEA77" s="44"/>
      <c r="TEB77" s="44"/>
      <c r="TEC77" s="44"/>
      <c r="TED77" s="44"/>
      <c r="TEE77" s="44"/>
      <c r="TEF77" s="44"/>
      <c r="TEG77" s="44"/>
      <c r="TEH77" s="44"/>
      <c r="TEI77" s="44"/>
      <c r="TEJ77" s="44"/>
      <c r="TEK77" s="44"/>
      <c r="TEL77" s="44"/>
      <c r="TEM77" s="44"/>
      <c r="TEN77" s="44"/>
      <c r="TEO77" s="44"/>
      <c r="TEP77" s="44"/>
      <c r="TEQ77" s="44"/>
      <c r="TER77" s="44"/>
      <c r="TES77" s="44"/>
      <c r="TET77" s="44"/>
      <c r="TEU77" s="44"/>
      <c r="TEV77" s="44"/>
      <c r="TEW77" s="44"/>
      <c r="TEX77" s="44"/>
      <c r="TEY77" s="44"/>
      <c r="TEZ77" s="44"/>
      <c r="TFA77" s="44"/>
      <c r="TFB77" s="44"/>
      <c r="TFC77" s="44"/>
      <c r="TFD77" s="44"/>
      <c r="TFE77" s="44"/>
      <c r="TFF77" s="44"/>
      <c r="TFG77" s="44"/>
      <c r="TFH77" s="44"/>
      <c r="TFI77" s="44"/>
      <c r="TFJ77" s="44"/>
      <c r="TFK77" s="44"/>
      <c r="TFL77" s="44"/>
      <c r="TFM77" s="44"/>
      <c r="TFN77" s="44"/>
      <c r="TFO77" s="44"/>
      <c r="TFP77" s="44"/>
      <c r="TFQ77" s="44"/>
      <c r="TFR77" s="44"/>
      <c r="TFS77" s="44"/>
      <c r="TFT77" s="44"/>
      <c r="TFU77" s="44"/>
      <c r="TFV77" s="44"/>
      <c r="TFW77" s="44"/>
      <c r="TFX77" s="44"/>
      <c r="TFY77" s="44"/>
      <c r="TFZ77" s="44"/>
      <c r="TGA77" s="44"/>
      <c r="TGB77" s="44"/>
      <c r="TGC77" s="44"/>
      <c r="TGD77" s="44"/>
      <c r="TGE77" s="44"/>
      <c r="TGF77" s="44"/>
      <c r="TGG77" s="44"/>
      <c r="TGH77" s="44"/>
      <c r="TGI77" s="44"/>
      <c r="TGJ77" s="44"/>
      <c r="TGK77" s="44"/>
      <c r="TGL77" s="44"/>
      <c r="TGM77" s="44"/>
      <c r="TGN77" s="44"/>
      <c r="TGO77" s="44"/>
      <c r="TGP77" s="44"/>
      <c r="TGQ77" s="44"/>
      <c r="TGR77" s="44"/>
      <c r="TGS77" s="44"/>
      <c r="TGT77" s="44"/>
      <c r="TGU77" s="44"/>
      <c r="TGV77" s="44"/>
      <c r="TGW77" s="44"/>
      <c r="TGX77" s="44"/>
      <c r="TGY77" s="44"/>
      <c r="TGZ77" s="44"/>
      <c r="THA77" s="44"/>
      <c r="THB77" s="44"/>
      <c r="THC77" s="44"/>
      <c r="THD77" s="44"/>
      <c r="THE77" s="44"/>
      <c r="THF77" s="44"/>
      <c r="THG77" s="44"/>
      <c r="THH77" s="44"/>
      <c r="THI77" s="44"/>
      <c r="THJ77" s="44"/>
      <c r="THK77" s="44"/>
      <c r="THL77" s="44"/>
      <c r="THM77" s="44"/>
      <c r="THN77" s="44"/>
      <c r="THO77" s="44"/>
      <c r="THP77" s="44"/>
      <c r="THQ77" s="44"/>
      <c r="THR77" s="44"/>
      <c r="THS77" s="44"/>
      <c r="THT77" s="44"/>
      <c r="THU77" s="44"/>
      <c r="THV77" s="44"/>
      <c r="THW77" s="44"/>
      <c r="THX77" s="44"/>
      <c r="THY77" s="44"/>
      <c r="THZ77" s="44"/>
      <c r="TIA77" s="44"/>
      <c r="TIB77" s="44"/>
      <c r="TIC77" s="44"/>
      <c r="TID77" s="44"/>
      <c r="TIE77" s="44"/>
      <c r="TIF77" s="44"/>
      <c r="TIG77" s="44"/>
      <c r="TIH77" s="44"/>
      <c r="TII77" s="44"/>
      <c r="TIJ77" s="44"/>
      <c r="TIK77" s="44"/>
      <c r="TIL77" s="44"/>
      <c r="TIM77" s="44"/>
      <c r="TIN77" s="44"/>
      <c r="TIO77" s="44"/>
      <c r="TIP77" s="44"/>
      <c r="TIQ77" s="44"/>
      <c r="TIR77" s="44"/>
      <c r="TIS77" s="44"/>
      <c r="TIT77" s="44"/>
      <c r="TIU77" s="44"/>
      <c r="TIV77" s="44"/>
      <c r="TIW77" s="44"/>
      <c r="TIX77" s="44"/>
      <c r="TIY77" s="44"/>
      <c r="TIZ77" s="44"/>
      <c r="TJA77" s="44"/>
      <c r="TJB77" s="44"/>
      <c r="TJC77" s="44"/>
      <c r="TJD77" s="44"/>
      <c r="TJE77" s="44"/>
      <c r="TJF77" s="44"/>
      <c r="TJG77" s="44"/>
      <c r="TJH77" s="44"/>
      <c r="TJI77" s="44"/>
      <c r="TJJ77" s="44"/>
      <c r="TJK77" s="44"/>
      <c r="TJL77" s="44"/>
      <c r="TJM77" s="44"/>
      <c r="TJN77" s="44"/>
      <c r="TJO77" s="44"/>
      <c r="TJP77" s="44"/>
      <c r="TJQ77" s="44"/>
      <c r="TJR77" s="44"/>
      <c r="TJS77" s="44"/>
      <c r="TJT77" s="44"/>
      <c r="TJU77" s="44"/>
      <c r="TJV77" s="44"/>
      <c r="TJW77" s="44"/>
      <c r="TJX77" s="44"/>
      <c r="TJY77" s="44"/>
      <c r="TJZ77" s="44"/>
      <c r="TKA77" s="44"/>
      <c r="TKB77" s="44"/>
      <c r="TKC77" s="44"/>
      <c r="TKD77" s="44"/>
      <c r="TKE77" s="44"/>
      <c r="TKF77" s="44"/>
      <c r="TKG77" s="44"/>
      <c r="TKH77" s="44"/>
      <c r="TKI77" s="44"/>
      <c r="TKJ77" s="44"/>
      <c r="TKK77" s="44"/>
      <c r="TKL77" s="44"/>
      <c r="TKM77" s="44"/>
      <c r="TKN77" s="44"/>
      <c r="TKO77" s="44"/>
      <c r="TKP77" s="44"/>
      <c r="TKQ77" s="44"/>
      <c r="TKR77" s="44"/>
      <c r="TKS77" s="44"/>
      <c r="TKT77" s="44"/>
      <c r="TKU77" s="44"/>
      <c r="TKV77" s="44"/>
      <c r="TKW77" s="44"/>
      <c r="TKX77" s="44"/>
      <c r="TKY77" s="44"/>
      <c r="TKZ77" s="44"/>
      <c r="TLA77" s="44"/>
      <c r="TLB77" s="44"/>
      <c r="TLC77" s="44"/>
      <c r="TLD77" s="44"/>
      <c r="TLE77" s="44"/>
      <c r="TLF77" s="44"/>
      <c r="TLG77" s="44"/>
      <c r="TLH77" s="44"/>
      <c r="TLI77" s="44"/>
      <c r="TLJ77" s="44"/>
      <c r="TLK77" s="44"/>
      <c r="TLL77" s="44"/>
      <c r="TLM77" s="44"/>
      <c r="TLN77" s="44"/>
      <c r="TLO77" s="44"/>
      <c r="TLP77" s="44"/>
      <c r="TLQ77" s="44"/>
      <c r="TLR77" s="44"/>
      <c r="TLS77" s="44"/>
      <c r="TLT77" s="44"/>
      <c r="TLU77" s="44"/>
      <c r="TLV77" s="44"/>
      <c r="TLW77" s="44"/>
      <c r="TLX77" s="44"/>
      <c r="TLY77" s="44"/>
      <c r="TLZ77" s="44"/>
      <c r="TMA77" s="44"/>
      <c r="TMB77" s="44"/>
      <c r="TMC77" s="44"/>
      <c r="TMD77" s="44"/>
      <c r="TME77" s="44"/>
      <c r="TMF77" s="44"/>
      <c r="TMG77" s="44"/>
      <c r="TMH77" s="44"/>
      <c r="TMI77" s="44"/>
      <c r="TMJ77" s="44"/>
      <c r="TMK77" s="44"/>
      <c r="TML77" s="44"/>
      <c r="TMM77" s="44"/>
      <c r="TMN77" s="44"/>
      <c r="TMO77" s="44"/>
      <c r="TMP77" s="44"/>
      <c r="TMQ77" s="44"/>
      <c r="TMR77" s="44"/>
      <c r="TMS77" s="44"/>
      <c r="TMT77" s="44"/>
      <c r="TMU77" s="44"/>
      <c r="TMV77" s="44"/>
      <c r="TMW77" s="44"/>
      <c r="TMX77" s="44"/>
      <c r="TMY77" s="44"/>
      <c r="TMZ77" s="44"/>
      <c r="TNA77" s="44"/>
      <c r="TNB77" s="44"/>
      <c r="TNC77" s="44"/>
      <c r="TND77" s="44"/>
      <c r="TNE77" s="44"/>
      <c r="TNF77" s="44"/>
      <c r="TNG77" s="44"/>
      <c r="TNH77" s="44"/>
      <c r="TNI77" s="44"/>
      <c r="TNJ77" s="44"/>
      <c r="TNK77" s="44"/>
      <c r="TNL77" s="44"/>
      <c r="TNM77" s="44"/>
      <c r="TNN77" s="44"/>
      <c r="TNO77" s="44"/>
      <c r="TNP77" s="44"/>
      <c r="TNQ77" s="44"/>
      <c r="TNR77" s="44"/>
      <c r="TNS77" s="44"/>
      <c r="TNT77" s="44"/>
      <c r="TNU77" s="44"/>
      <c r="TNV77" s="44"/>
      <c r="TNW77" s="44"/>
      <c r="TNX77" s="44"/>
      <c r="TNY77" s="44"/>
      <c r="TNZ77" s="44"/>
      <c r="TOA77" s="44"/>
      <c r="TOB77" s="44"/>
      <c r="TOC77" s="44"/>
      <c r="TOD77" s="44"/>
      <c r="TOE77" s="44"/>
      <c r="TOF77" s="44"/>
      <c r="TOG77" s="44"/>
      <c r="TOH77" s="44"/>
      <c r="TOI77" s="44"/>
      <c r="TOJ77" s="44"/>
      <c r="TOK77" s="44"/>
      <c r="TOL77" s="44"/>
      <c r="TOM77" s="44"/>
      <c r="TON77" s="44"/>
      <c r="TOO77" s="44"/>
      <c r="TOP77" s="44"/>
      <c r="TOQ77" s="44"/>
      <c r="TOR77" s="44"/>
      <c r="TOS77" s="44"/>
      <c r="TOT77" s="44"/>
      <c r="TOU77" s="44"/>
      <c r="TOV77" s="44"/>
      <c r="TOW77" s="44"/>
      <c r="TOX77" s="44"/>
      <c r="TOY77" s="44"/>
      <c r="TOZ77" s="44"/>
      <c r="TPA77" s="44"/>
      <c r="TPB77" s="44"/>
      <c r="TPC77" s="44"/>
      <c r="TPD77" s="44"/>
      <c r="TPE77" s="44"/>
      <c r="TPF77" s="44"/>
      <c r="TPG77" s="44"/>
      <c r="TPH77" s="44"/>
      <c r="TPI77" s="44"/>
      <c r="TPJ77" s="44"/>
      <c r="TPK77" s="44"/>
      <c r="TPL77" s="44"/>
      <c r="TPM77" s="44"/>
      <c r="TPN77" s="44"/>
      <c r="TPO77" s="44"/>
      <c r="TPP77" s="44"/>
      <c r="TPQ77" s="44"/>
      <c r="TPR77" s="44"/>
      <c r="TPS77" s="44"/>
      <c r="TPT77" s="44"/>
      <c r="TPU77" s="44"/>
      <c r="TPV77" s="44"/>
      <c r="TPW77" s="44"/>
      <c r="TPX77" s="44"/>
      <c r="TPY77" s="44"/>
      <c r="TPZ77" s="44"/>
      <c r="TQA77" s="44"/>
      <c r="TQB77" s="44"/>
      <c r="TQC77" s="44"/>
      <c r="TQD77" s="44"/>
      <c r="TQE77" s="44"/>
      <c r="TQF77" s="44"/>
      <c r="TQG77" s="44"/>
      <c r="TQH77" s="44"/>
      <c r="TQI77" s="44"/>
      <c r="TQJ77" s="44"/>
      <c r="TQK77" s="44"/>
      <c r="TQL77" s="44"/>
      <c r="TQM77" s="44"/>
      <c r="TQN77" s="44"/>
      <c r="TQO77" s="44"/>
      <c r="TQP77" s="44"/>
      <c r="TQQ77" s="44"/>
      <c r="TQR77" s="44"/>
      <c r="TQS77" s="44"/>
      <c r="TQT77" s="44"/>
      <c r="TQU77" s="44"/>
      <c r="TQV77" s="44"/>
      <c r="TQW77" s="44"/>
      <c r="TQX77" s="44"/>
      <c r="TQY77" s="44"/>
      <c r="TQZ77" s="44"/>
      <c r="TRA77" s="44"/>
      <c r="TRB77" s="44"/>
      <c r="TRC77" s="44"/>
      <c r="TRD77" s="44"/>
      <c r="TRE77" s="44"/>
      <c r="TRF77" s="44"/>
      <c r="TRG77" s="44"/>
      <c r="TRH77" s="44"/>
      <c r="TRI77" s="44"/>
      <c r="TRJ77" s="44"/>
      <c r="TRK77" s="44"/>
      <c r="TRL77" s="44"/>
      <c r="TRM77" s="44"/>
      <c r="TRN77" s="44"/>
      <c r="TRO77" s="44"/>
      <c r="TRP77" s="44"/>
      <c r="TRQ77" s="44"/>
      <c r="TRR77" s="44"/>
      <c r="TRS77" s="44"/>
      <c r="TRT77" s="44"/>
      <c r="TRU77" s="44"/>
      <c r="TRV77" s="44"/>
      <c r="TRW77" s="44"/>
      <c r="TRX77" s="44"/>
      <c r="TRY77" s="44"/>
      <c r="TRZ77" s="44"/>
      <c r="TSA77" s="44"/>
      <c r="TSB77" s="44"/>
      <c r="TSC77" s="44"/>
      <c r="TSD77" s="44"/>
      <c r="TSE77" s="44"/>
      <c r="TSF77" s="44"/>
      <c r="TSG77" s="44"/>
      <c r="TSH77" s="44"/>
      <c r="TSI77" s="44"/>
      <c r="TSJ77" s="44"/>
      <c r="TSK77" s="44"/>
      <c r="TSL77" s="44"/>
      <c r="TSM77" s="44"/>
      <c r="TSN77" s="44"/>
      <c r="TSO77" s="44"/>
      <c r="TSP77" s="44"/>
      <c r="TSQ77" s="44"/>
      <c r="TSR77" s="44"/>
      <c r="TSS77" s="44"/>
      <c r="TST77" s="44"/>
      <c r="TSU77" s="44"/>
      <c r="TSV77" s="44"/>
      <c r="TSW77" s="44"/>
      <c r="TSX77" s="44"/>
      <c r="TSY77" s="44"/>
      <c r="TSZ77" s="44"/>
      <c r="TTA77" s="44"/>
      <c r="TTB77" s="44"/>
      <c r="TTC77" s="44"/>
      <c r="TTD77" s="44"/>
      <c r="TTE77" s="44"/>
      <c r="TTF77" s="44"/>
      <c r="TTG77" s="44"/>
      <c r="TTH77" s="44"/>
      <c r="TTI77" s="44"/>
      <c r="TTJ77" s="44"/>
      <c r="TTK77" s="44"/>
      <c r="TTL77" s="44"/>
      <c r="TTM77" s="44"/>
      <c r="TTN77" s="44"/>
      <c r="TTO77" s="44"/>
      <c r="TTP77" s="44"/>
      <c r="TTQ77" s="44"/>
      <c r="TTR77" s="44"/>
      <c r="TTS77" s="44"/>
      <c r="TTT77" s="44"/>
      <c r="TTU77" s="44"/>
      <c r="TTV77" s="44"/>
      <c r="TTW77" s="44"/>
      <c r="TTX77" s="44"/>
      <c r="TTY77" s="44"/>
      <c r="TTZ77" s="44"/>
      <c r="TUA77" s="44"/>
      <c r="TUB77" s="44"/>
      <c r="TUC77" s="44"/>
      <c r="TUD77" s="44"/>
      <c r="TUE77" s="44"/>
      <c r="TUF77" s="44"/>
      <c r="TUG77" s="44"/>
      <c r="TUH77" s="44"/>
      <c r="TUI77" s="44"/>
      <c r="TUJ77" s="44"/>
      <c r="TUK77" s="44"/>
      <c r="TUL77" s="44"/>
      <c r="TUM77" s="44"/>
      <c r="TUN77" s="44"/>
      <c r="TUO77" s="44"/>
      <c r="TUP77" s="44"/>
      <c r="TUQ77" s="44"/>
      <c r="TUR77" s="44"/>
      <c r="TUS77" s="44"/>
      <c r="TUT77" s="44"/>
      <c r="TUU77" s="44"/>
      <c r="TUV77" s="44"/>
      <c r="TUW77" s="44"/>
      <c r="TUX77" s="44"/>
      <c r="TUY77" s="44"/>
      <c r="TUZ77" s="44"/>
      <c r="TVA77" s="44"/>
      <c r="TVB77" s="44"/>
      <c r="TVC77" s="44"/>
      <c r="TVD77" s="44"/>
      <c r="TVE77" s="44"/>
      <c r="TVF77" s="44"/>
      <c r="TVG77" s="44"/>
      <c r="TVH77" s="44"/>
      <c r="TVI77" s="44"/>
      <c r="TVJ77" s="44"/>
      <c r="TVK77" s="44"/>
      <c r="TVL77" s="44"/>
      <c r="TVM77" s="44"/>
      <c r="TVN77" s="44"/>
      <c r="TVO77" s="44"/>
      <c r="TVP77" s="44"/>
      <c r="TVQ77" s="44"/>
      <c r="TVR77" s="44"/>
      <c r="TVS77" s="44"/>
      <c r="TVT77" s="44"/>
      <c r="TVU77" s="44"/>
      <c r="TVV77" s="44"/>
      <c r="TVW77" s="44"/>
      <c r="TVX77" s="44"/>
      <c r="TVY77" s="44"/>
      <c r="TVZ77" s="44"/>
      <c r="TWA77" s="44"/>
      <c r="TWB77" s="44"/>
      <c r="TWC77" s="44"/>
      <c r="TWD77" s="44"/>
      <c r="TWE77" s="44"/>
      <c r="TWF77" s="44"/>
      <c r="TWG77" s="44"/>
      <c r="TWH77" s="44"/>
      <c r="TWI77" s="44"/>
      <c r="TWJ77" s="44"/>
      <c r="TWK77" s="44"/>
      <c r="TWL77" s="44"/>
      <c r="TWM77" s="44"/>
      <c r="TWN77" s="44"/>
      <c r="TWO77" s="44"/>
      <c r="TWP77" s="44"/>
      <c r="TWQ77" s="44"/>
      <c r="TWR77" s="44"/>
      <c r="TWS77" s="44"/>
      <c r="TWT77" s="44"/>
      <c r="TWU77" s="44"/>
      <c r="TWV77" s="44"/>
      <c r="TWW77" s="44"/>
      <c r="TWX77" s="44"/>
      <c r="TWY77" s="44"/>
      <c r="TWZ77" s="44"/>
      <c r="TXA77" s="44"/>
      <c r="TXB77" s="44"/>
      <c r="TXC77" s="44"/>
      <c r="TXD77" s="44"/>
      <c r="TXE77" s="44"/>
      <c r="TXF77" s="44"/>
      <c r="TXG77" s="44"/>
      <c r="TXH77" s="44"/>
      <c r="TXI77" s="44"/>
      <c r="TXJ77" s="44"/>
      <c r="TXK77" s="44"/>
      <c r="TXL77" s="44"/>
      <c r="TXM77" s="44"/>
      <c r="TXN77" s="44"/>
      <c r="TXO77" s="44"/>
      <c r="TXP77" s="44"/>
      <c r="TXQ77" s="44"/>
      <c r="TXR77" s="44"/>
      <c r="TXS77" s="44"/>
      <c r="TXT77" s="44"/>
      <c r="TXU77" s="44"/>
      <c r="TXV77" s="44"/>
      <c r="TXW77" s="44"/>
      <c r="TXX77" s="44"/>
      <c r="TXY77" s="44"/>
      <c r="TXZ77" s="44"/>
      <c r="TYA77" s="44"/>
      <c r="TYB77" s="44"/>
      <c r="TYC77" s="44"/>
      <c r="TYD77" s="44"/>
      <c r="TYE77" s="44"/>
      <c r="TYF77" s="44"/>
      <c r="TYG77" s="44"/>
      <c r="TYH77" s="44"/>
      <c r="TYI77" s="44"/>
      <c r="TYJ77" s="44"/>
      <c r="TYK77" s="44"/>
      <c r="TYL77" s="44"/>
      <c r="TYM77" s="44"/>
      <c r="TYN77" s="44"/>
      <c r="TYO77" s="44"/>
      <c r="TYP77" s="44"/>
      <c r="TYQ77" s="44"/>
      <c r="TYR77" s="44"/>
      <c r="TYS77" s="44"/>
      <c r="TYT77" s="44"/>
      <c r="TYU77" s="44"/>
      <c r="TYV77" s="44"/>
      <c r="TYW77" s="44"/>
      <c r="TYX77" s="44"/>
      <c r="TYY77" s="44"/>
      <c r="TYZ77" s="44"/>
      <c r="TZA77" s="44"/>
      <c r="TZB77" s="44"/>
      <c r="TZC77" s="44"/>
      <c r="TZD77" s="44"/>
      <c r="TZE77" s="44"/>
      <c r="TZF77" s="44"/>
      <c r="TZG77" s="44"/>
      <c r="TZH77" s="44"/>
      <c r="TZI77" s="44"/>
      <c r="TZJ77" s="44"/>
      <c r="TZK77" s="44"/>
      <c r="TZL77" s="44"/>
      <c r="TZM77" s="44"/>
      <c r="TZN77" s="44"/>
      <c r="TZO77" s="44"/>
      <c r="TZP77" s="44"/>
      <c r="TZQ77" s="44"/>
      <c r="TZR77" s="44"/>
      <c r="TZS77" s="44"/>
      <c r="TZT77" s="44"/>
      <c r="TZU77" s="44"/>
      <c r="TZV77" s="44"/>
      <c r="TZW77" s="44"/>
      <c r="TZX77" s="44"/>
      <c r="TZY77" s="44"/>
      <c r="TZZ77" s="44"/>
      <c r="UAA77" s="44"/>
      <c r="UAB77" s="44"/>
      <c r="UAC77" s="44"/>
      <c r="UAD77" s="44"/>
      <c r="UAE77" s="44"/>
      <c r="UAF77" s="44"/>
      <c r="UAG77" s="44"/>
      <c r="UAH77" s="44"/>
      <c r="UAI77" s="44"/>
      <c r="UAJ77" s="44"/>
      <c r="UAK77" s="44"/>
      <c r="UAL77" s="44"/>
      <c r="UAM77" s="44"/>
      <c r="UAN77" s="44"/>
      <c r="UAO77" s="44"/>
      <c r="UAP77" s="44"/>
      <c r="UAQ77" s="44"/>
      <c r="UAR77" s="44"/>
      <c r="UAS77" s="44"/>
      <c r="UAT77" s="44"/>
      <c r="UAU77" s="44"/>
      <c r="UAV77" s="44"/>
      <c r="UAW77" s="44"/>
      <c r="UAX77" s="44"/>
      <c r="UAY77" s="44"/>
      <c r="UAZ77" s="44"/>
      <c r="UBA77" s="44"/>
      <c r="UBB77" s="44"/>
      <c r="UBC77" s="44"/>
      <c r="UBD77" s="44"/>
      <c r="UBE77" s="44"/>
      <c r="UBF77" s="44"/>
      <c r="UBG77" s="44"/>
      <c r="UBH77" s="44"/>
      <c r="UBI77" s="44"/>
      <c r="UBJ77" s="44"/>
      <c r="UBK77" s="44"/>
      <c r="UBL77" s="44"/>
      <c r="UBM77" s="44"/>
      <c r="UBN77" s="44"/>
      <c r="UBO77" s="44"/>
      <c r="UBP77" s="44"/>
      <c r="UBQ77" s="44"/>
      <c r="UBR77" s="44"/>
      <c r="UBS77" s="44"/>
      <c r="UBT77" s="44"/>
      <c r="UBU77" s="44"/>
      <c r="UBV77" s="44"/>
      <c r="UBW77" s="44"/>
      <c r="UBX77" s="44"/>
      <c r="UBY77" s="44"/>
      <c r="UBZ77" s="44"/>
      <c r="UCA77" s="44"/>
      <c r="UCB77" s="44"/>
      <c r="UCC77" s="44"/>
      <c r="UCD77" s="44"/>
      <c r="UCE77" s="44"/>
      <c r="UCF77" s="44"/>
      <c r="UCG77" s="44"/>
      <c r="UCH77" s="44"/>
      <c r="UCI77" s="44"/>
      <c r="UCJ77" s="44"/>
      <c r="UCK77" s="44"/>
      <c r="UCL77" s="44"/>
      <c r="UCM77" s="44"/>
      <c r="UCN77" s="44"/>
      <c r="UCO77" s="44"/>
      <c r="UCP77" s="44"/>
      <c r="UCQ77" s="44"/>
      <c r="UCR77" s="44"/>
      <c r="UCS77" s="44"/>
      <c r="UCT77" s="44"/>
      <c r="UCU77" s="44"/>
      <c r="UCV77" s="44"/>
      <c r="UCW77" s="44"/>
      <c r="UCX77" s="44"/>
      <c r="UCY77" s="44"/>
      <c r="UCZ77" s="44"/>
      <c r="UDA77" s="44"/>
      <c r="UDB77" s="44"/>
      <c r="UDC77" s="44"/>
      <c r="UDD77" s="44"/>
      <c r="UDE77" s="44"/>
      <c r="UDF77" s="44"/>
      <c r="UDG77" s="44"/>
      <c r="UDH77" s="44"/>
      <c r="UDI77" s="44"/>
      <c r="UDJ77" s="44"/>
      <c r="UDK77" s="44"/>
      <c r="UDL77" s="44"/>
      <c r="UDM77" s="44"/>
      <c r="UDN77" s="44"/>
      <c r="UDO77" s="44"/>
      <c r="UDP77" s="44"/>
      <c r="UDQ77" s="44"/>
      <c r="UDR77" s="44"/>
      <c r="UDS77" s="44"/>
      <c r="UDT77" s="44"/>
      <c r="UDU77" s="44"/>
      <c r="UDV77" s="44"/>
      <c r="UDW77" s="44"/>
      <c r="UDX77" s="44"/>
      <c r="UDY77" s="44"/>
      <c r="UDZ77" s="44"/>
      <c r="UEA77" s="44"/>
      <c r="UEB77" s="44"/>
      <c r="UEC77" s="44"/>
      <c r="UED77" s="44"/>
      <c r="UEE77" s="44"/>
      <c r="UEF77" s="44"/>
      <c r="UEG77" s="44"/>
      <c r="UEH77" s="44"/>
      <c r="UEI77" s="44"/>
      <c r="UEJ77" s="44"/>
      <c r="UEK77" s="44"/>
      <c r="UEL77" s="44"/>
      <c r="UEM77" s="44"/>
      <c r="UEN77" s="44"/>
      <c r="UEO77" s="44"/>
      <c r="UEP77" s="44"/>
      <c r="UEQ77" s="44"/>
      <c r="UER77" s="44"/>
      <c r="UES77" s="44"/>
      <c r="UET77" s="44"/>
      <c r="UEU77" s="44"/>
      <c r="UEV77" s="44"/>
      <c r="UEW77" s="44"/>
      <c r="UEX77" s="44"/>
      <c r="UEY77" s="44"/>
      <c r="UEZ77" s="44"/>
      <c r="UFA77" s="44"/>
      <c r="UFB77" s="44"/>
      <c r="UFC77" s="44"/>
      <c r="UFD77" s="44"/>
      <c r="UFE77" s="44"/>
      <c r="UFF77" s="44"/>
      <c r="UFG77" s="44"/>
      <c r="UFH77" s="44"/>
      <c r="UFI77" s="44"/>
      <c r="UFJ77" s="44"/>
      <c r="UFK77" s="44"/>
      <c r="UFL77" s="44"/>
      <c r="UFM77" s="44"/>
      <c r="UFN77" s="44"/>
      <c r="UFO77" s="44"/>
      <c r="UFP77" s="44"/>
      <c r="UFQ77" s="44"/>
      <c r="UFR77" s="44"/>
      <c r="UFS77" s="44"/>
      <c r="UFT77" s="44"/>
      <c r="UFU77" s="44"/>
      <c r="UFV77" s="44"/>
      <c r="UFW77" s="44"/>
      <c r="UFX77" s="44"/>
      <c r="UFY77" s="44"/>
      <c r="UFZ77" s="44"/>
      <c r="UGA77" s="44"/>
      <c r="UGB77" s="44"/>
      <c r="UGC77" s="44"/>
      <c r="UGD77" s="44"/>
      <c r="UGE77" s="44"/>
      <c r="UGF77" s="44"/>
      <c r="UGG77" s="44"/>
      <c r="UGH77" s="44"/>
      <c r="UGI77" s="44"/>
      <c r="UGJ77" s="44"/>
      <c r="UGK77" s="44"/>
      <c r="UGL77" s="44"/>
      <c r="UGM77" s="44"/>
      <c r="UGN77" s="44"/>
      <c r="UGO77" s="44"/>
      <c r="UGP77" s="44"/>
      <c r="UGQ77" s="44"/>
      <c r="UGR77" s="44"/>
      <c r="UGS77" s="44"/>
      <c r="UGT77" s="44"/>
      <c r="UGU77" s="44"/>
      <c r="UGV77" s="44"/>
      <c r="UGW77" s="44"/>
      <c r="UGX77" s="44"/>
      <c r="UGY77" s="44"/>
      <c r="UGZ77" s="44"/>
      <c r="UHA77" s="44"/>
      <c r="UHB77" s="44"/>
      <c r="UHC77" s="44"/>
      <c r="UHD77" s="44"/>
      <c r="UHE77" s="44"/>
      <c r="UHF77" s="44"/>
      <c r="UHG77" s="44"/>
      <c r="UHH77" s="44"/>
      <c r="UHI77" s="44"/>
      <c r="UHJ77" s="44"/>
      <c r="UHK77" s="44"/>
      <c r="UHL77" s="44"/>
      <c r="UHM77" s="44"/>
      <c r="UHN77" s="44"/>
      <c r="UHO77" s="44"/>
      <c r="UHP77" s="44"/>
      <c r="UHQ77" s="44"/>
      <c r="UHR77" s="44"/>
      <c r="UHS77" s="44"/>
      <c r="UHT77" s="44"/>
      <c r="UHU77" s="44"/>
      <c r="UHV77" s="44"/>
      <c r="UHW77" s="44"/>
      <c r="UHX77" s="44"/>
      <c r="UHY77" s="44"/>
      <c r="UHZ77" s="44"/>
      <c r="UIA77" s="44"/>
      <c r="UIB77" s="44"/>
      <c r="UIC77" s="44"/>
      <c r="UID77" s="44"/>
      <c r="UIE77" s="44"/>
      <c r="UIF77" s="44"/>
      <c r="UIG77" s="44"/>
      <c r="UIH77" s="44"/>
      <c r="UII77" s="44"/>
      <c r="UIJ77" s="44"/>
      <c r="UIK77" s="44"/>
      <c r="UIL77" s="44"/>
      <c r="UIM77" s="44"/>
      <c r="UIN77" s="44"/>
      <c r="UIO77" s="44"/>
      <c r="UIP77" s="44"/>
      <c r="UIQ77" s="44"/>
      <c r="UIR77" s="44"/>
      <c r="UIS77" s="44"/>
      <c r="UIT77" s="44"/>
      <c r="UIU77" s="44"/>
      <c r="UIV77" s="44"/>
      <c r="UIW77" s="44"/>
      <c r="UIX77" s="44"/>
      <c r="UIY77" s="44"/>
      <c r="UIZ77" s="44"/>
      <c r="UJA77" s="44"/>
      <c r="UJB77" s="44"/>
      <c r="UJC77" s="44"/>
      <c r="UJD77" s="44"/>
      <c r="UJE77" s="44"/>
      <c r="UJF77" s="44"/>
      <c r="UJG77" s="44"/>
      <c r="UJH77" s="44"/>
      <c r="UJI77" s="44"/>
      <c r="UJJ77" s="44"/>
      <c r="UJK77" s="44"/>
      <c r="UJL77" s="44"/>
      <c r="UJM77" s="44"/>
      <c r="UJN77" s="44"/>
      <c r="UJO77" s="44"/>
      <c r="UJP77" s="44"/>
      <c r="UJQ77" s="44"/>
      <c r="UJR77" s="44"/>
      <c r="UJS77" s="44"/>
      <c r="UJT77" s="44"/>
      <c r="UJU77" s="44"/>
      <c r="UJV77" s="44"/>
      <c r="UJW77" s="44"/>
      <c r="UJX77" s="44"/>
      <c r="UJY77" s="44"/>
      <c r="UJZ77" s="44"/>
      <c r="UKA77" s="44"/>
      <c r="UKB77" s="44"/>
      <c r="UKC77" s="44"/>
      <c r="UKD77" s="44"/>
      <c r="UKE77" s="44"/>
      <c r="UKF77" s="44"/>
      <c r="UKG77" s="44"/>
      <c r="UKH77" s="44"/>
      <c r="UKI77" s="44"/>
      <c r="UKJ77" s="44"/>
      <c r="UKK77" s="44"/>
      <c r="UKL77" s="44"/>
      <c r="UKM77" s="44"/>
      <c r="UKN77" s="44"/>
      <c r="UKO77" s="44"/>
      <c r="UKP77" s="44"/>
      <c r="UKQ77" s="44"/>
      <c r="UKR77" s="44"/>
      <c r="UKS77" s="44"/>
      <c r="UKT77" s="44"/>
      <c r="UKU77" s="44"/>
      <c r="UKV77" s="44"/>
      <c r="UKW77" s="44"/>
      <c r="UKX77" s="44"/>
      <c r="UKY77" s="44"/>
      <c r="UKZ77" s="44"/>
      <c r="ULA77" s="44"/>
      <c r="ULB77" s="44"/>
      <c r="ULC77" s="44"/>
      <c r="ULD77" s="44"/>
      <c r="ULE77" s="44"/>
      <c r="ULF77" s="44"/>
      <c r="ULG77" s="44"/>
      <c r="ULH77" s="44"/>
      <c r="ULI77" s="44"/>
      <c r="ULJ77" s="44"/>
      <c r="ULK77" s="44"/>
      <c r="ULL77" s="44"/>
      <c r="ULM77" s="44"/>
      <c r="ULN77" s="44"/>
      <c r="ULO77" s="44"/>
      <c r="ULP77" s="44"/>
      <c r="ULQ77" s="44"/>
      <c r="ULR77" s="44"/>
      <c r="ULS77" s="44"/>
      <c r="ULT77" s="44"/>
      <c r="ULU77" s="44"/>
      <c r="ULV77" s="44"/>
      <c r="ULW77" s="44"/>
      <c r="ULX77" s="44"/>
      <c r="ULY77" s="44"/>
      <c r="ULZ77" s="44"/>
      <c r="UMA77" s="44"/>
      <c r="UMB77" s="44"/>
      <c r="UMC77" s="44"/>
      <c r="UMD77" s="44"/>
      <c r="UME77" s="44"/>
      <c r="UMF77" s="44"/>
      <c r="UMG77" s="44"/>
      <c r="UMH77" s="44"/>
      <c r="UMI77" s="44"/>
      <c r="UMJ77" s="44"/>
      <c r="UMK77" s="44"/>
      <c r="UML77" s="44"/>
      <c r="UMM77" s="44"/>
      <c r="UMN77" s="44"/>
      <c r="UMO77" s="44"/>
      <c r="UMP77" s="44"/>
      <c r="UMQ77" s="44"/>
      <c r="UMR77" s="44"/>
      <c r="UMS77" s="44"/>
      <c r="UMT77" s="44"/>
      <c r="UMU77" s="44"/>
      <c r="UMV77" s="44"/>
      <c r="UMW77" s="44"/>
      <c r="UMX77" s="44"/>
      <c r="UMY77" s="44"/>
      <c r="UMZ77" s="44"/>
      <c r="UNA77" s="44"/>
      <c r="UNB77" s="44"/>
      <c r="UNC77" s="44"/>
      <c r="UND77" s="44"/>
      <c r="UNE77" s="44"/>
      <c r="UNF77" s="44"/>
      <c r="UNG77" s="44"/>
      <c r="UNH77" s="44"/>
      <c r="UNI77" s="44"/>
      <c r="UNJ77" s="44"/>
      <c r="UNK77" s="44"/>
      <c r="UNL77" s="44"/>
      <c r="UNM77" s="44"/>
      <c r="UNN77" s="44"/>
      <c r="UNO77" s="44"/>
      <c r="UNP77" s="44"/>
      <c r="UNQ77" s="44"/>
      <c r="UNR77" s="44"/>
      <c r="UNS77" s="44"/>
      <c r="UNT77" s="44"/>
      <c r="UNU77" s="44"/>
      <c r="UNV77" s="44"/>
      <c r="UNW77" s="44"/>
      <c r="UNX77" s="44"/>
      <c r="UNY77" s="44"/>
      <c r="UNZ77" s="44"/>
      <c r="UOA77" s="44"/>
      <c r="UOB77" s="44"/>
      <c r="UOC77" s="44"/>
      <c r="UOD77" s="44"/>
      <c r="UOE77" s="44"/>
      <c r="UOF77" s="44"/>
      <c r="UOG77" s="44"/>
      <c r="UOH77" s="44"/>
      <c r="UOI77" s="44"/>
      <c r="UOJ77" s="44"/>
      <c r="UOK77" s="44"/>
      <c r="UOL77" s="44"/>
      <c r="UOM77" s="44"/>
      <c r="UON77" s="44"/>
      <c r="UOO77" s="44"/>
      <c r="UOP77" s="44"/>
      <c r="UOQ77" s="44"/>
      <c r="UOR77" s="44"/>
      <c r="UOS77" s="44"/>
      <c r="UOT77" s="44"/>
      <c r="UOU77" s="44"/>
      <c r="UOV77" s="44"/>
      <c r="UOW77" s="44"/>
      <c r="UOX77" s="44"/>
      <c r="UOY77" s="44"/>
      <c r="UOZ77" s="44"/>
      <c r="UPA77" s="44"/>
      <c r="UPB77" s="44"/>
      <c r="UPC77" s="44"/>
      <c r="UPD77" s="44"/>
      <c r="UPE77" s="44"/>
      <c r="UPF77" s="44"/>
      <c r="UPG77" s="44"/>
      <c r="UPH77" s="44"/>
      <c r="UPI77" s="44"/>
      <c r="UPJ77" s="44"/>
      <c r="UPK77" s="44"/>
      <c r="UPL77" s="44"/>
      <c r="UPM77" s="44"/>
      <c r="UPN77" s="44"/>
      <c r="UPO77" s="44"/>
      <c r="UPP77" s="44"/>
      <c r="UPQ77" s="44"/>
      <c r="UPR77" s="44"/>
      <c r="UPS77" s="44"/>
      <c r="UPT77" s="44"/>
      <c r="UPU77" s="44"/>
      <c r="UPV77" s="44"/>
      <c r="UPW77" s="44"/>
      <c r="UPX77" s="44"/>
      <c r="UPY77" s="44"/>
      <c r="UPZ77" s="44"/>
      <c r="UQA77" s="44"/>
      <c r="UQB77" s="44"/>
      <c r="UQC77" s="44"/>
      <c r="UQD77" s="44"/>
      <c r="UQE77" s="44"/>
      <c r="UQF77" s="44"/>
      <c r="UQG77" s="44"/>
      <c r="UQH77" s="44"/>
      <c r="UQI77" s="44"/>
      <c r="UQJ77" s="44"/>
      <c r="UQK77" s="44"/>
      <c r="UQL77" s="44"/>
      <c r="UQM77" s="44"/>
      <c r="UQN77" s="44"/>
      <c r="UQO77" s="44"/>
      <c r="UQP77" s="44"/>
      <c r="UQQ77" s="44"/>
      <c r="UQR77" s="44"/>
      <c r="UQS77" s="44"/>
      <c r="UQT77" s="44"/>
      <c r="UQU77" s="44"/>
      <c r="UQV77" s="44"/>
      <c r="UQW77" s="44"/>
      <c r="UQX77" s="44"/>
      <c r="UQY77" s="44"/>
      <c r="UQZ77" s="44"/>
      <c r="URA77" s="44"/>
      <c r="URB77" s="44"/>
      <c r="URC77" s="44"/>
      <c r="URD77" s="44"/>
      <c r="URE77" s="44"/>
      <c r="URF77" s="44"/>
      <c r="URG77" s="44"/>
      <c r="URH77" s="44"/>
      <c r="URI77" s="44"/>
      <c r="URJ77" s="44"/>
      <c r="URK77" s="44"/>
      <c r="URL77" s="44"/>
      <c r="URM77" s="44"/>
      <c r="URN77" s="44"/>
      <c r="URO77" s="44"/>
      <c r="URP77" s="44"/>
      <c r="URQ77" s="44"/>
      <c r="URR77" s="44"/>
      <c r="URS77" s="44"/>
      <c r="URT77" s="44"/>
      <c r="URU77" s="44"/>
      <c r="URV77" s="44"/>
      <c r="URW77" s="44"/>
      <c r="URX77" s="44"/>
      <c r="URY77" s="44"/>
      <c r="URZ77" s="44"/>
      <c r="USA77" s="44"/>
      <c r="USB77" s="44"/>
      <c r="USC77" s="44"/>
      <c r="USD77" s="44"/>
      <c r="USE77" s="44"/>
      <c r="USF77" s="44"/>
      <c r="USG77" s="44"/>
      <c r="USH77" s="44"/>
      <c r="USI77" s="44"/>
      <c r="USJ77" s="44"/>
      <c r="USK77" s="44"/>
      <c r="USL77" s="44"/>
      <c r="USM77" s="44"/>
      <c r="USN77" s="44"/>
      <c r="USO77" s="44"/>
      <c r="USP77" s="44"/>
      <c r="USQ77" s="44"/>
      <c r="USR77" s="44"/>
      <c r="USS77" s="44"/>
      <c r="UST77" s="44"/>
      <c r="USU77" s="44"/>
      <c r="USV77" s="44"/>
      <c r="USW77" s="44"/>
      <c r="USX77" s="44"/>
      <c r="USY77" s="44"/>
      <c r="USZ77" s="44"/>
      <c r="UTA77" s="44"/>
      <c r="UTB77" s="44"/>
      <c r="UTC77" s="44"/>
      <c r="UTD77" s="44"/>
      <c r="UTE77" s="44"/>
      <c r="UTF77" s="44"/>
      <c r="UTG77" s="44"/>
      <c r="UTH77" s="44"/>
      <c r="UTI77" s="44"/>
      <c r="UTJ77" s="44"/>
      <c r="UTK77" s="44"/>
      <c r="UTL77" s="44"/>
      <c r="UTM77" s="44"/>
      <c r="UTN77" s="44"/>
      <c r="UTO77" s="44"/>
      <c r="UTP77" s="44"/>
      <c r="UTQ77" s="44"/>
      <c r="UTR77" s="44"/>
      <c r="UTS77" s="44"/>
      <c r="UTT77" s="44"/>
      <c r="UTU77" s="44"/>
      <c r="UTV77" s="44"/>
      <c r="UTW77" s="44"/>
      <c r="UTX77" s="44"/>
      <c r="UTY77" s="44"/>
      <c r="UTZ77" s="44"/>
      <c r="UUA77" s="44"/>
      <c r="UUB77" s="44"/>
      <c r="UUC77" s="44"/>
      <c r="UUD77" s="44"/>
      <c r="UUE77" s="44"/>
      <c r="UUF77" s="44"/>
      <c r="UUG77" s="44"/>
      <c r="UUH77" s="44"/>
      <c r="UUI77" s="44"/>
      <c r="UUJ77" s="44"/>
      <c r="UUK77" s="44"/>
      <c r="UUL77" s="44"/>
      <c r="UUM77" s="44"/>
      <c r="UUN77" s="44"/>
      <c r="UUO77" s="44"/>
      <c r="UUP77" s="44"/>
      <c r="UUQ77" s="44"/>
      <c r="UUR77" s="44"/>
      <c r="UUS77" s="44"/>
      <c r="UUT77" s="44"/>
      <c r="UUU77" s="44"/>
      <c r="UUV77" s="44"/>
      <c r="UUW77" s="44"/>
      <c r="UUX77" s="44"/>
      <c r="UUY77" s="44"/>
      <c r="UUZ77" s="44"/>
      <c r="UVA77" s="44"/>
      <c r="UVB77" s="44"/>
      <c r="UVC77" s="44"/>
      <c r="UVD77" s="44"/>
      <c r="UVE77" s="44"/>
      <c r="UVF77" s="44"/>
      <c r="UVG77" s="44"/>
      <c r="UVH77" s="44"/>
      <c r="UVI77" s="44"/>
      <c r="UVJ77" s="44"/>
      <c r="UVK77" s="44"/>
      <c r="UVL77" s="44"/>
      <c r="UVM77" s="44"/>
      <c r="UVN77" s="44"/>
      <c r="UVO77" s="44"/>
      <c r="UVP77" s="44"/>
      <c r="UVQ77" s="44"/>
      <c r="UVR77" s="44"/>
      <c r="UVS77" s="44"/>
      <c r="UVT77" s="44"/>
      <c r="UVU77" s="44"/>
      <c r="UVV77" s="44"/>
      <c r="UVW77" s="44"/>
      <c r="UVX77" s="44"/>
      <c r="UVY77" s="44"/>
      <c r="UVZ77" s="44"/>
      <c r="UWA77" s="44"/>
      <c r="UWB77" s="44"/>
      <c r="UWC77" s="44"/>
      <c r="UWD77" s="44"/>
      <c r="UWE77" s="44"/>
      <c r="UWF77" s="44"/>
      <c r="UWG77" s="44"/>
      <c r="UWH77" s="44"/>
      <c r="UWI77" s="44"/>
      <c r="UWJ77" s="44"/>
      <c r="UWK77" s="44"/>
      <c r="UWL77" s="44"/>
      <c r="UWM77" s="44"/>
      <c r="UWN77" s="44"/>
      <c r="UWO77" s="44"/>
      <c r="UWP77" s="44"/>
      <c r="UWQ77" s="44"/>
      <c r="UWR77" s="44"/>
      <c r="UWS77" s="44"/>
      <c r="UWT77" s="44"/>
      <c r="UWU77" s="44"/>
      <c r="UWV77" s="44"/>
      <c r="UWW77" s="44"/>
      <c r="UWX77" s="44"/>
      <c r="UWY77" s="44"/>
      <c r="UWZ77" s="44"/>
      <c r="UXA77" s="44"/>
      <c r="UXB77" s="44"/>
      <c r="UXC77" s="44"/>
      <c r="UXD77" s="44"/>
      <c r="UXE77" s="44"/>
      <c r="UXF77" s="44"/>
      <c r="UXG77" s="44"/>
      <c r="UXH77" s="44"/>
      <c r="UXI77" s="44"/>
      <c r="UXJ77" s="44"/>
      <c r="UXK77" s="44"/>
      <c r="UXL77" s="44"/>
      <c r="UXM77" s="44"/>
      <c r="UXN77" s="44"/>
      <c r="UXO77" s="44"/>
      <c r="UXP77" s="44"/>
      <c r="UXQ77" s="44"/>
      <c r="UXR77" s="44"/>
      <c r="UXS77" s="44"/>
      <c r="UXT77" s="44"/>
      <c r="UXU77" s="44"/>
      <c r="UXV77" s="44"/>
      <c r="UXW77" s="44"/>
      <c r="UXX77" s="44"/>
      <c r="UXY77" s="44"/>
      <c r="UXZ77" s="44"/>
      <c r="UYA77" s="44"/>
      <c r="UYB77" s="44"/>
      <c r="UYC77" s="44"/>
      <c r="UYD77" s="44"/>
      <c r="UYE77" s="44"/>
      <c r="UYF77" s="44"/>
      <c r="UYG77" s="44"/>
      <c r="UYH77" s="44"/>
      <c r="UYI77" s="44"/>
      <c r="UYJ77" s="44"/>
      <c r="UYK77" s="44"/>
      <c r="UYL77" s="44"/>
      <c r="UYM77" s="44"/>
      <c r="UYN77" s="44"/>
      <c r="UYO77" s="44"/>
      <c r="UYP77" s="44"/>
      <c r="UYQ77" s="44"/>
      <c r="UYR77" s="44"/>
      <c r="UYS77" s="44"/>
      <c r="UYT77" s="44"/>
      <c r="UYU77" s="44"/>
      <c r="UYV77" s="44"/>
      <c r="UYW77" s="44"/>
      <c r="UYX77" s="44"/>
      <c r="UYY77" s="44"/>
      <c r="UYZ77" s="44"/>
      <c r="UZA77" s="44"/>
      <c r="UZB77" s="44"/>
      <c r="UZC77" s="44"/>
      <c r="UZD77" s="44"/>
      <c r="UZE77" s="44"/>
      <c r="UZF77" s="44"/>
      <c r="UZG77" s="44"/>
      <c r="UZH77" s="44"/>
      <c r="UZI77" s="44"/>
      <c r="UZJ77" s="44"/>
      <c r="UZK77" s="44"/>
      <c r="UZL77" s="44"/>
      <c r="UZM77" s="44"/>
      <c r="UZN77" s="44"/>
      <c r="UZO77" s="44"/>
      <c r="UZP77" s="44"/>
      <c r="UZQ77" s="44"/>
      <c r="UZR77" s="44"/>
      <c r="UZS77" s="44"/>
      <c r="UZT77" s="44"/>
      <c r="UZU77" s="44"/>
      <c r="UZV77" s="44"/>
      <c r="UZW77" s="44"/>
      <c r="UZX77" s="44"/>
      <c r="UZY77" s="44"/>
      <c r="UZZ77" s="44"/>
      <c r="VAA77" s="44"/>
      <c r="VAB77" s="44"/>
      <c r="VAC77" s="44"/>
      <c r="VAD77" s="44"/>
      <c r="VAE77" s="44"/>
      <c r="VAF77" s="44"/>
      <c r="VAG77" s="44"/>
      <c r="VAH77" s="44"/>
      <c r="VAI77" s="44"/>
      <c r="VAJ77" s="44"/>
      <c r="VAK77" s="44"/>
      <c r="VAL77" s="44"/>
      <c r="VAM77" s="44"/>
      <c r="VAN77" s="44"/>
      <c r="VAO77" s="44"/>
      <c r="VAP77" s="44"/>
      <c r="VAQ77" s="44"/>
      <c r="VAR77" s="44"/>
      <c r="VAS77" s="44"/>
      <c r="VAT77" s="44"/>
      <c r="VAU77" s="44"/>
      <c r="VAV77" s="44"/>
      <c r="VAW77" s="44"/>
      <c r="VAX77" s="44"/>
      <c r="VAY77" s="44"/>
      <c r="VAZ77" s="44"/>
      <c r="VBA77" s="44"/>
      <c r="VBB77" s="44"/>
      <c r="VBC77" s="44"/>
      <c r="VBD77" s="44"/>
      <c r="VBE77" s="44"/>
      <c r="VBF77" s="44"/>
      <c r="VBG77" s="44"/>
      <c r="VBH77" s="44"/>
      <c r="VBI77" s="44"/>
      <c r="VBJ77" s="44"/>
      <c r="VBK77" s="44"/>
      <c r="VBL77" s="44"/>
      <c r="VBM77" s="44"/>
      <c r="VBN77" s="44"/>
      <c r="VBO77" s="44"/>
      <c r="VBP77" s="44"/>
      <c r="VBQ77" s="44"/>
      <c r="VBR77" s="44"/>
      <c r="VBS77" s="44"/>
      <c r="VBT77" s="44"/>
      <c r="VBU77" s="44"/>
      <c r="VBV77" s="44"/>
      <c r="VBW77" s="44"/>
      <c r="VBX77" s="44"/>
      <c r="VBY77" s="44"/>
      <c r="VBZ77" s="44"/>
      <c r="VCA77" s="44"/>
      <c r="VCB77" s="44"/>
      <c r="VCC77" s="44"/>
      <c r="VCD77" s="44"/>
      <c r="VCE77" s="44"/>
      <c r="VCF77" s="44"/>
      <c r="VCG77" s="44"/>
      <c r="VCH77" s="44"/>
      <c r="VCI77" s="44"/>
      <c r="VCJ77" s="44"/>
      <c r="VCK77" s="44"/>
      <c r="VCL77" s="44"/>
      <c r="VCM77" s="44"/>
      <c r="VCN77" s="44"/>
      <c r="VCO77" s="44"/>
      <c r="VCP77" s="44"/>
      <c r="VCQ77" s="44"/>
      <c r="VCR77" s="44"/>
      <c r="VCS77" s="44"/>
      <c r="VCT77" s="44"/>
      <c r="VCU77" s="44"/>
      <c r="VCV77" s="44"/>
      <c r="VCW77" s="44"/>
      <c r="VCX77" s="44"/>
      <c r="VCY77" s="44"/>
      <c r="VCZ77" s="44"/>
      <c r="VDA77" s="44"/>
      <c r="VDB77" s="44"/>
      <c r="VDC77" s="44"/>
      <c r="VDD77" s="44"/>
      <c r="VDE77" s="44"/>
      <c r="VDF77" s="44"/>
      <c r="VDG77" s="44"/>
      <c r="VDH77" s="44"/>
      <c r="VDI77" s="44"/>
      <c r="VDJ77" s="44"/>
      <c r="VDK77" s="44"/>
      <c r="VDL77" s="44"/>
      <c r="VDM77" s="44"/>
      <c r="VDN77" s="44"/>
      <c r="VDO77" s="44"/>
      <c r="VDP77" s="44"/>
      <c r="VDQ77" s="44"/>
      <c r="VDR77" s="44"/>
      <c r="VDS77" s="44"/>
      <c r="VDT77" s="44"/>
      <c r="VDU77" s="44"/>
      <c r="VDV77" s="44"/>
      <c r="VDW77" s="44"/>
      <c r="VDX77" s="44"/>
      <c r="VDY77" s="44"/>
      <c r="VDZ77" s="44"/>
      <c r="VEA77" s="44"/>
      <c r="VEB77" s="44"/>
      <c r="VEC77" s="44"/>
      <c r="VED77" s="44"/>
      <c r="VEE77" s="44"/>
      <c r="VEF77" s="44"/>
      <c r="VEG77" s="44"/>
      <c r="VEH77" s="44"/>
      <c r="VEI77" s="44"/>
      <c r="VEJ77" s="44"/>
      <c r="VEK77" s="44"/>
      <c r="VEL77" s="44"/>
      <c r="VEM77" s="44"/>
      <c r="VEN77" s="44"/>
      <c r="VEO77" s="44"/>
      <c r="VEP77" s="44"/>
      <c r="VEQ77" s="44"/>
      <c r="VER77" s="44"/>
      <c r="VES77" s="44"/>
      <c r="VET77" s="44"/>
      <c r="VEU77" s="44"/>
      <c r="VEV77" s="44"/>
      <c r="VEW77" s="44"/>
      <c r="VEX77" s="44"/>
      <c r="VEY77" s="44"/>
      <c r="VEZ77" s="44"/>
      <c r="VFA77" s="44"/>
      <c r="VFB77" s="44"/>
      <c r="VFC77" s="44"/>
      <c r="VFD77" s="44"/>
      <c r="VFE77" s="44"/>
      <c r="VFF77" s="44"/>
      <c r="VFG77" s="44"/>
      <c r="VFH77" s="44"/>
      <c r="VFI77" s="44"/>
      <c r="VFJ77" s="44"/>
      <c r="VFK77" s="44"/>
      <c r="VFL77" s="44"/>
      <c r="VFM77" s="44"/>
      <c r="VFN77" s="44"/>
      <c r="VFO77" s="44"/>
      <c r="VFP77" s="44"/>
      <c r="VFQ77" s="44"/>
      <c r="VFR77" s="44"/>
      <c r="VFS77" s="44"/>
      <c r="VFT77" s="44"/>
      <c r="VFU77" s="44"/>
      <c r="VFV77" s="44"/>
      <c r="VFW77" s="44"/>
      <c r="VFX77" s="44"/>
      <c r="VFY77" s="44"/>
      <c r="VFZ77" s="44"/>
      <c r="VGA77" s="44"/>
      <c r="VGB77" s="44"/>
      <c r="VGC77" s="44"/>
      <c r="VGD77" s="44"/>
      <c r="VGE77" s="44"/>
      <c r="VGF77" s="44"/>
      <c r="VGG77" s="44"/>
      <c r="VGH77" s="44"/>
      <c r="VGI77" s="44"/>
      <c r="VGJ77" s="44"/>
      <c r="VGK77" s="44"/>
      <c r="VGL77" s="44"/>
      <c r="VGM77" s="44"/>
      <c r="VGN77" s="44"/>
      <c r="VGO77" s="44"/>
      <c r="VGP77" s="44"/>
      <c r="VGQ77" s="44"/>
      <c r="VGR77" s="44"/>
      <c r="VGS77" s="44"/>
      <c r="VGT77" s="44"/>
      <c r="VGU77" s="44"/>
      <c r="VGV77" s="44"/>
      <c r="VGW77" s="44"/>
      <c r="VGX77" s="44"/>
      <c r="VGY77" s="44"/>
      <c r="VGZ77" s="44"/>
      <c r="VHA77" s="44"/>
      <c r="VHB77" s="44"/>
      <c r="VHC77" s="44"/>
      <c r="VHD77" s="44"/>
      <c r="VHE77" s="44"/>
      <c r="VHF77" s="44"/>
      <c r="VHG77" s="44"/>
      <c r="VHH77" s="44"/>
      <c r="VHI77" s="44"/>
      <c r="VHJ77" s="44"/>
      <c r="VHK77" s="44"/>
      <c r="VHL77" s="44"/>
      <c r="VHM77" s="44"/>
      <c r="VHN77" s="44"/>
      <c r="VHO77" s="44"/>
      <c r="VHP77" s="44"/>
      <c r="VHQ77" s="44"/>
      <c r="VHR77" s="44"/>
      <c r="VHS77" s="44"/>
      <c r="VHT77" s="44"/>
      <c r="VHU77" s="44"/>
      <c r="VHV77" s="44"/>
      <c r="VHW77" s="44"/>
      <c r="VHX77" s="44"/>
      <c r="VHY77" s="44"/>
      <c r="VHZ77" s="44"/>
      <c r="VIA77" s="44"/>
      <c r="VIB77" s="44"/>
      <c r="VIC77" s="44"/>
      <c r="VID77" s="44"/>
      <c r="VIE77" s="44"/>
      <c r="VIF77" s="44"/>
      <c r="VIG77" s="44"/>
      <c r="VIH77" s="44"/>
      <c r="VII77" s="44"/>
      <c r="VIJ77" s="44"/>
      <c r="VIK77" s="44"/>
      <c r="VIL77" s="44"/>
      <c r="VIM77" s="44"/>
      <c r="VIN77" s="44"/>
      <c r="VIO77" s="44"/>
      <c r="VIP77" s="44"/>
      <c r="VIQ77" s="44"/>
      <c r="VIR77" s="44"/>
      <c r="VIS77" s="44"/>
      <c r="VIT77" s="44"/>
      <c r="VIU77" s="44"/>
      <c r="VIV77" s="44"/>
      <c r="VIW77" s="44"/>
      <c r="VIX77" s="44"/>
      <c r="VIY77" s="44"/>
      <c r="VIZ77" s="44"/>
      <c r="VJA77" s="44"/>
      <c r="VJB77" s="44"/>
      <c r="VJC77" s="44"/>
      <c r="VJD77" s="44"/>
      <c r="VJE77" s="44"/>
      <c r="VJF77" s="44"/>
      <c r="VJG77" s="44"/>
      <c r="VJH77" s="44"/>
      <c r="VJI77" s="44"/>
      <c r="VJJ77" s="44"/>
      <c r="VJK77" s="44"/>
      <c r="VJL77" s="44"/>
      <c r="VJM77" s="44"/>
      <c r="VJN77" s="44"/>
      <c r="VJO77" s="44"/>
      <c r="VJP77" s="44"/>
      <c r="VJQ77" s="44"/>
      <c r="VJR77" s="44"/>
      <c r="VJS77" s="44"/>
      <c r="VJT77" s="44"/>
      <c r="VJU77" s="44"/>
      <c r="VJV77" s="44"/>
      <c r="VJW77" s="44"/>
      <c r="VJX77" s="44"/>
      <c r="VJY77" s="44"/>
      <c r="VJZ77" s="44"/>
      <c r="VKA77" s="44"/>
      <c r="VKB77" s="44"/>
      <c r="VKC77" s="44"/>
      <c r="VKD77" s="44"/>
      <c r="VKE77" s="44"/>
      <c r="VKF77" s="44"/>
      <c r="VKG77" s="44"/>
      <c r="VKH77" s="44"/>
      <c r="VKI77" s="44"/>
      <c r="VKJ77" s="44"/>
      <c r="VKK77" s="44"/>
      <c r="VKL77" s="44"/>
      <c r="VKM77" s="44"/>
      <c r="VKN77" s="44"/>
      <c r="VKO77" s="44"/>
      <c r="VKP77" s="44"/>
      <c r="VKQ77" s="44"/>
      <c r="VKR77" s="44"/>
      <c r="VKS77" s="44"/>
      <c r="VKT77" s="44"/>
      <c r="VKU77" s="44"/>
      <c r="VKV77" s="44"/>
      <c r="VKW77" s="44"/>
      <c r="VKX77" s="44"/>
      <c r="VKY77" s="44"/>
      <c r="VKZ77" s="44"/>
      <c r="VLA77" s="44"/>
      <c r="VLB77" s="44"/>
      <c r="VLC77" s="44"/>
      <c r="VLD77" s="44"/>
      <c r="VLE77" s="44"/>
      <c r="VLF77" s="44"/>
      <c r="VLG77" s="44"/>
      <c r="VLH77" s="44"/>
      <c r="VLI77" s="44"/>
      <c r="VLJ77" s="44"/>
      <c r="VLK77" s="44"/>
      <c r="VLL77" s="44"/>
      <c r="VLM77" s="44"/>
      <c r="VLN77" s="44"/>
      <c r="VLO77" s="44"/>
      <c r="VLP77" s="44"/>
      <c r="VLQ77" s="44"/>
      <c r="VLR77" s="44"/>
      <c r="VLS77" s="44"/>
      <c r="VLT77" s="44"/>
      <c r="VLU77" s="44"/>
      <c r="VLV77" s="44"/>
      <c r="VLW77" s="44"/>
      <c r="VLX77" s="44"/>
      <c r="VLY77" s="44"/>
      <c r="VLZ77" s="44"/>
      <c r="VMA77" s="44"/>
      <c r="VMB77" s="44"/>
      <c r="VMC77" s="44"/>
      <c r="VMD77" s="44"/>
      <c r="VME77" s="44"/>
      <c r="VMF77" s="44"/>
      <c r="VMG77" s="44"/>
      <c r="VMH77" s="44"/>
      <c r="VMI77" s="44"/>
      <c r="VMJ77" s="44"/>
      <c r="VMK77" s="44"/>
      <c r="VML77" s="44"/>
      <c r="VMM77" s="44"/>
      <c r="VMN77" s="44"/>
      <c r="VMO77" s="44"/>
      <c r="VMP77" s="44"/>
      <c r="VMQ77" s="44"/>
      <c r="VMR77" s="44"/>
      <c r="VMS77" s="44"/>
      <c r="VMT77" s="44"/>
      <c r="VMU77" s="44"/>
      <c r="VMV77" s="44"/>
      <c r="VMW77" s="44"/>
      <c r="VMX77" s="44"/>
      <c r="VMY77" s="44"/>
      <c r="VMZ77" s="44"/>
      <c r="VNA77" s="44"/>
      <c r="VNB77" s="44"/>
      <c r="VNC77" s="44"/>
      <c r="VND77" s="44"/>
      <c r="VNE77" s="44"/>
      <c r="VNF77" s="44"/>
      <c r="VNG77" s="44"/>
      <c r="VNH77" s="44"/>
      <c r="VNI77" s="44"/>
      <c r="VNJ77" s="44"/>
      <c r="VNK77" s="44"/>
      <c r="VNL77" s="44"/>
      <c r="VNM77" s="44"/>
      <c r="VNN77" s="44"/>
      <c r="VNO77" s="44"/>
      <c r="VNP77" s="44"/>
      <c r="VNQ77" s="44"/>
      <c r="VNR77" s="44"/>
      <c r="VNS77" s="44"/>
      <c r="VNT77" s="44"/>
      <c r="VNU77" s="44"/>
      <c r="VNV77" s="44"/>
      <c r="VNW77" s="44"/>
      <c r="VNX77" s="44"/>
      <c r="VNY77" s="44"/>
      <c r="VNZ77" s="44"/>
      <c r="VOA77" s="44"/>
      <c r="VOB77" s="44"/>
      <c r="VOC77" s="44"/>
      <c r="VOD77" s="44"/>
      <c r="VOE77" s="44"/>
      <c r="VOF77" s="44"/>
      <c r="VOG77" s="44"/>
      <c r="VOH77" s="44"/>
      <c r="VOI77" s="44"/>
      <c r="VOJ77" s="44"/>
      <c r="VOK77" s="44"/>
      <c r="VOL77" s="44"/>
      <c r="VOM77" s="44"/>
      <c r="VON77" s="44"/>
      <c r="VOO77" s="44"/>
      <c r="VOP77" s="44"/>
      <c r="VOQ77" s="44"/>
      <c r="VOR77" s="44"/>
      <c r="VOS77" s="44"/>
      <c r="VOT77" s="44"/>
      <c r="VOU77" s="44"/>
      <c r="VOV77" s="44"/>
      <c r="VOW77" s="44"/>
      <c r="VOX77" s="44"/>
      <c r="VOY77" s="44"/>
      <c r="VOZ77" s="44"/>
      <c r="VPA77" s="44"/>
      <c r="VPB77" s="44"/>
      <c r="VPC77" s="44"/>
      <c r="VPD77" s="44"/>
      <c r="VPE77" s="44"/>
      <c r="VPF77" s="44"/>
      <c r="VPG77" s="44"/>
      <c r="VPH77" s="44"/>
      <c r="VPI77" s="44"/>
      <c r="VPJ77" s="44"/>
      <c r="VPK77" s="44"/>
      <c r="VPL77" s="44"/>
      <c r="VPM77" s="44"/>
      <c r="VPN77" s="44"/>
      <c r="VPO77" s="44"/>
      <c r="VPP77" s="44"/>
      <c r="VPQ77" s="44"/>
      <c r="VPR77" s="44"/>
      <c r="VPS77" s="44"/>
      <c r="VPT77" s="44"/>
      <c r="VPU77" s="44"/>
      <c r="VPV77" s="44"/>
      <c r="VPW77" s="44"/>
      <c r="VPX77" s="44"/>
      <c r="VPY77" s="44"/>
      <c r="VPZ77" s="44"/>
      <c r="VQA77" s="44"/>
      <c r="VQB77" s="44"/>
      <c r="VQC77" s="44"/>
      <c r="VQD77" s="44"/>
      <c r="VQE77" s="44"/>
      <c r="VQF77" s="44"/>
      <c r="VQG77" s="44"/>
      <c r="VQH77" s="44"/>
      <c r="VQI77" s="44"/>
      <c r="VQJ77" s="44"/>
      <c r="VQK77" s="44"/>
      <c r="VQL77" s="44"/>
      <c r="VQM77" s="44"/>
      <c r="VQN77" s="44"/>
      <c r="VQO77" s="44"/>
      <c r="VQP77" s="44"/>
      <c r="VQQ77" s="44"/>
      <c r="VQR77" s="44"/>
      <c r="VQS77" s="44"/>
      <c r="VQT77" s="44"/>
      <c r="VQU77" s="44"/>
      <c r="VQV77" s="44"/>
      <c r="VQW77" s="44"/>
      <c r="VQX77" s="44"/>
      <c r="VQY77" s="44"/>
      <c r="VQZ77" s="44"/>
      <c r="VRA77" s="44"/>
      <c r="VRB77" s="44"/>
      <c r="VRC77" s="44"/>
      <c r="VRD77" s="44"/>
      <c r="VRE77" s="44"/>
      <c r="VRF77" s="44"/>
      <c r="VRG77" s="44"/>
      <c r="VRH77" s="44"/>
      <c r="VRI77" s="44"/>
      <c r="VRJ77" s="44"/>
      <c r="VRK77" s="44"/>
      <c r="VRL77" s="44"/>
      <c r="VRM77" s="44"/>
      <c r="VRN77" s="44"/>
      <c r="VRO77" s="44"/>
      <c r="VRP77" s="44"/>
      <c r="VRQ77" s="44"/>
      <c r="VRR77" s="44"/>
      <c r="VRS77" s="44"/>
      <c r="VRT77" s="44"/>
      <c r="VRU77" s="44"/>
      <c r="VRV77" s="44"/>
      <c r="VRW77" s="44"/>
      <c r="VRX77" s="44"/>
      <c r="VRY77" s="44"/>
      <c r="VRZ77" s="44"/>
      <c r="VSA77" s="44"/>
      <c r="VSB77" s="44"/>
      <c r="VSC77" s="44"/>
      <c r="VSD77" s="44"/>
      <c r="VSE77" s="44"/>
      <c r="VSF77" s="44"/>
      <c r="VSG77" s="44"/>
      <c r="VSH77" s="44"/>
      <c r="VSI77" s="44"/>
      <c r="VSJ77" s="44"/>
      <c r="VSK77" s="44"/>
      <c r="VSL77" s="44"/>
      <c r="VSM77" s="44"/>
      <c r="VSN77" s="44"/>
      <c r="VSO77" s="44"/>
      <c r="VSP77" s="44"/>
      <c r="VSQ77" s="44"/>
      <c r="VSR77" s="44"/>
      <c r="VSS77" s="44"/>
      <c r="VST77" s="44"/>
      <c r="VSU77" s="44"/>
      <c r="VSV77" s="44"/>
      <c r="VSW77" s="44"/>
      <c r="VSX77" s="44"/>
      <c r="VSY77" s="44"/>
      <c r="VSZ77" s="44"/>
      <c r="VTA77" s="44"/>
      <c r="VTB77" s="44"/>
      <c r="VTC77" s="44"/>
      <c r="VTD77" s="44"/>
      <c r="VTE77" s="44"/>
      <c r="VTF77" s="44"/>
      <c r="VTG77" s="44"/>
      <c r="VTH77" s="44"/>
      <c r="VTI77" s="44"/>
      <c r="VTJ77" s="44"/>
      <c r="VTK77" s="44"/>
      <c r="VTL77" s="44"/>
      <c r="VTM77" s="44"/>
      <c r="VTN77" s="44"/>
      <c r="VTO77" s="44"/>
      <c r="VTP77" s="44"/>
      <c r="VTQ77" s="44"/>
      <c r="VTR77" s="44"/>
      <c r="VTS77" s="44"/>
      <c r="VTT77" s="44"/>
      <c r="VTU77" s="44"/>
      <c r="VTV77" s="44"/>
      <c r="VTW77" s="44"/>
      <c r="VTX77" s="44"/>
      <c r="VTY77" s="44"/>
      <c r="VTZ77" s="44"/>
      <c r="VUA77" s="44"/>
      <c r="VUB77" s="44"/>
      <c r="VUC77" s="44"/>
      <c r="VUD77" s="44"/>
      <c r="VUE77" s="44"/>
      <c r="VUF77" s="44"/>
      <c r="VUG77" s="44"/>
      <c r="VUH77" s="44"/>
      <c r="VUI77" s="44"/>
      <c r="VUJ77" s="44"/>
      <c r="VUK77" s="44"/>
      <c r="VUL77" s="44"/>
      <c r="VUM77" s="44"/>
      <c r="VUN77" s="44"/>
      <c r="VUO77" s="44"/>
      <c r="VUP77" s="44"/>
      <c r="VUQ77" s="44"/>
      <c r="VUR77" s="44"/>
      <c r="VUS77" s="44"/>
      <c r="VUT77" s="44"/>
      <c r="VUU77" s="44"/>
      <c r="VUV77" s="44"/>
      <c r="VUW77" s="44"/>
      <c r="VUX77" s="44"/>
      <c r="VUY77" s="44"/>
      <c r="VUZ77" s="44"/>
      <c r="VVA77" s="44"/>
      <c r="VVB77" s="44"/>
      <c r="VVC77" s="44"/>
      <c r="VVD77" s="44"/>
      <c r="VVE77" s="44"/>
      <c r="VVF77" s="44"/>
      <c r="VVG77" s="44"/>
      <c r="VVH77" s="44"/>
      <c r="VVI77" s="44"/>
      <c r="VVJ77" s="44"/>
      <c r="VVK77" s="44"/>
      <c r="VVL77" s="44"/>
      <c r="VVM77" s="44"/>
      <c r="VVN77" s="44"/>
      <c r="VVO77" s="44"/>
      <c r="VVP77" s="44"/>
      <c r="VVQ77" s="44"/>
      <c r="VVR77" s="44"/>
      <c r="VVS77" s="44"/>
      <c r="VVT77" s="44"/>
      <c r="VVU77" s="44"/>
      <c r="VVV77" s="44"/>
      <c r="VVW77" s="44"/>
      <c r="VVX77" s="44"/>
      <c r="VVY77" s="44"/>
      <c r="VVZ77" s="44"/>
      <c r="VWA77" s="44"/>
      <c r="VWB77" s="44"/>
      <c r="VWC77" s="44"/>
      <c r="VWD77" s="44"/>
      <c r="VWE77" s="44"/>
      <c r="VWF77" s="44"/>
      <c r="VWG77" s="44"/>
      <c r="VWH77" s="44"/>
      <c r="VWI77" s="44"/>
      <c r="VWJ77" s="44"/>
      <c r="VWK77" s="44"/>
      <c r="VWL77" s="44"/>
      <c r="VWM77" s="44"/>
      <c r="VWN77" s="44"/>
      <c r="VWO77" s="44"/>
      <c r="VWP77" s="44"/>
      <c r="VWQ77" s="44"/>
      <c r="VWR77" s="44"/>
      <c r="VWS77" s="44"/>
      <c r="VWT77" s="44"/>
      <c r="VWU77" s="44"/>
      <c r="VWV77" s="44"/>
      <c r="VWW77" s="44"/>
      <c r="VWX77" s="44"/>
      <c r="VWY77" s="44"/>
      <c r="VWZ77" s="44"/>
      <c r="VXA77" s="44"/>
      <c r="VXB77" s="44"/>
      <c r="VXC77" s="44"/>
      <c r="VXD77" s="44"/>
      <c r="VXE77" s="44"/>
      <c r="VXF77" s="44"/>
      <c r="VXG77" s="44"/>
      <c r="VXH77" s="44"/>
      <c r="VXI77" s="44"/>
      <c r="VXJ77" s="44"/>
      <c r="VXK77" s="44"/>
      <c r="VXL77" s="44"/>
      <c r="VXM77" s="44"/>
      <c r="VXN77" s="44"/>
      <c r="VXO77" s="44"/>
      <c r="VXP77" s="44"/>
      <c r="VXQ77" s="44"/>
      <c r="VXR77" s="44"/>
      <c r="VXS77" s="44"/>
      <c r="VXT77" s="44"/>
      <c r="VXU77" s="44"/>
      <c r="VXV77" s="44"/>
      <c r="VXW77" s="44"/>
      <c r="VXX77" s="44"/>
      <c r="VXY77" s="44"/>
      <c r="VXZ77" s="44"/>
      <c r="VYA77" s="44"/>
      <c r="VYB77" s="44"/>
      <c r="VYC77" s="44"/>
      <c r="VYD77" s="44"/>
      <c r="VYE77" s="44"/>
      <c r="VYF77" s="44"/>
      <c r="VYG77" s="44"/>
      <c r="VYH77" s="44"/>
      <c r="VYI77" s="44"/>
      <c r="VYJ77" s="44"/>
      <c r="VYK77" s="44"/>
      <c r="VYL77" s="44"/>
      <c r="VYM77" s="44"/>
      <c r="VYN77" s="44"/>
      <c r="VYO77" s="44"/>
      <c r="VYP77" s="44"/>
      <c r="VYQ77" s="44"/>
      <c r="VYR77" s="44"/>
      <c r="VYS77" s="44"/>
      <c r="VYT77" s="44"/>
      <c r="VYU77" s="44"/>
      <c r="VYV77" s="44"/>
      <c r="VYW77" s="44"/>
      <c r="VYX77" s="44"/>
      <c r="VYY77" s="44"/>
      <c r="VYZ77" s="44"/>
      <c r="VZA77" s="44"/>
      <c r="VZB77" s="44"/>
      <c r="VZC77" s="44"/>
      <c r="VZD77" s="44"/>
      <c r="VZE77" s="44"/>
      <c r="VZF77" s="44"/>
      <c r="VZG77" s="44"/>
      <c r="VZH77" s="44"/>
      <c r="VZI77" s="44"/>
      <c r="VZJ77" s="44"/>
      <c r="VZK77" s="44"/>
      <c r="VZL77" s="44"/>
      <c r="VZM77" s="44"/>
      <c r="VZN77" s="44"/>
      <c r="VZO77" s="44"/>
      <c r="VZP77" s="44"/>
      <c r="VZQ77" s="44"/>
      <c r="VZR77" s="44"/>
      <c r="VZS77" s="44"/>
      <c r="VZT77" s="44"/>
      <c r="VZU77" s="44"/>
      <c r="VZV77" s="44"/>
      <c r="VZW77" s="44"/>
      <c r="VZX77" s="44"/>
      <c r="VZY77" s="44"/>
      <c r="VZZ77" s="44"/>
      <c r="WAA77" s="44"/>
      <c r="WAB77" s="44"/>
      <c r="WAC77" s="44"/>
      <c r="WAD77" s="44"/>
      <c r="WAE77" s="44"/>
      <c r="WAF77" s="44"/>
      <c r="WAG77" s="44"/>
      <c r="WAH77" s="44"/>
      <c r="WAI77" s="44"/>
      <c r="WAJ77" s="44"/>
      <c r="WAK77" s="44"/>
      <c r="WAL77" s="44"/>
      <c r="WAM77" s="44"/>
      <c r="WAN77" s="44"/>
      <c r="WAO77" s="44"/>
      <c r="WAP77" s="44"/>
      <c r="WAQ77" s="44"/>
      <c r="WAR77" s="44"/>
      <c r="WAS77" s="44"/>
      <c r="WAT77" s="44"/>
      <c r="WAU77" s="44"/>
      <c r="WAV77" s="44"/>
      <c r="WAW77" s="44"/>
      <c r="WAX77" s="44"/>
      <c r="WAY77" s="44"/>
      <c r="WAZ77" s="44"/>
      <c r="WBA77" s="44"/>
      <c r="WBB77" s="44"/>
      <c r="WBC77" s="44"/>
      <c r="WBD77" s="44"/>
      <c r="WBE77" s="44"/>
      <c r="WBF77" s="44"/>
      <c r="WBG77" s="44"/>
      <c r="WBH77" s="44"/>
      <c r="WBI77" s="44"/>
      <c r="WBJ77" s="44"/>
      <c r="WBK77" s="44"/>
      <c r="WBL77" s="44"/>
      <c r="WBM77" s="44"/>
      <c r="WBN77" s="44"/>
      <c r="WBO77" s="44"/>
      <c r="WBP77" s="44"/>
      <c r="WBQ77" s="44"/>
      <c r="WBR77" s="44"/>
      <c r="WBS77" s="44"/>
      <c r="WBT77" s="44"/>
      <c r="WBU77" s="44"/>
      <c r="WBV77" s="44"/>
      <c r="WBW77" s="44"/>
      <c r="WBX77" s="44"/>
      <c r="WBY77" s="44"/>
      <c r="WBZ77" s="44"/>
      <c r="WCA77" s="44"/>
      <c r="WCB77" s="44"/>
      <c r="WCC77" s="44"/>
      <c r="WCD77" s="44"/>
      <c r="WCE77" s="44"/>
      <c r="WCF77" s="44"/>
      <c r="WCG77" s="44"/>
      <c r="WCH77" s="44"/>
      <c r="WCI77" s="44"/>
      <c r="WCJ77" s="44"/>
      <c r="WCK77" s="44"/>
      <c r="WCL77" s="44"/>
      <c r="WCM77" s="44"/>
      <c r="WCN77" s="44"/>
      <c r="WCO77" s="44"/>
      <c r="WCP77" s="44"/>
      <c r="WCQ77" s="44"/>
      <c r="WCR77" s="44"/>
      <c r="WCS77" s="44"/>
      <c r="WCT77" s="44"/>
      <c r="WCU77" s="44"/>
      <c r="WCV77" s="44"/>
      <c r="WCW77" s="44"/>
      <c r="WCX77" s="44"/>
      <c r="WCY77" s="44"/>
      <c r="WCZ77" s="44"/>
      <c r="WDA77" s="44"/>
      <c r="WDB77" s="44"/>
      <c r="WDC77" s="44"/>
      <c r="WDD77" s="44"/>
      <c r="WDE77" s="44"/>
      <c r="WDF77" s="44"/>
      <c r="WDG77" s="44"/>
      <c r="WDH77" s="44"/>
      <c r="WDI77" s="44"/>
      <c r="WDJ77" s="44"/>
      <c r="WDK77" s="44"/>
      <c r="WDL77" s="44"/>
      <c r="WDM77" s="44"/>
      <c r="WDN77" s="44"/>
      <c r="WDO77" s="44"/>
      <c r="WDP77" s="44"/>
      <c r="WDQ77" s="44"/>
      <c r="WDR77" s="44"/>
      <c r="WDS77" s="44"/>
      <c r="WDT77" s="44"/>
      <c r="WDU77" s="44"/>
      <c r="WDV77" s="44"/>
      <c r="WDW77" s="44"/>
      <c r="WDX77" s="44"/>
      <c r="WDY77" s="44"/>
      <c r="WDZ77" s="44"/>
      <c r="WEA77" s="44"/>
      <c r="WEB77" s="44"/>
      <c r="WEC77" s="44"/>
      <c r="WED77" s="44"/>
      <c r="WEE77" s="44"/>
      <c r="WEF77" s="44"/>
      <c r="WEG77" s="44"/>
      <c r="WEH77" s="44"/>
      <c r="WEI77" s="44"/>
      <c r="WEJ77" s="44"/>
      <c r="WEK77" s="44"/>
      <c r="WEL77" s="44"/>
      <c r="WEM77" s="44"/>
      <c r="WEN77" s="44"/>
      <c r="WEO77" s="44"/>
      <c r="WEP77" s="44"/>
      <c r="WEQ77" s="44"/>
      <c r="WER77" s="44"/>
      <c r="WES77" s="44"/>
      <c r="WET77" s="44"/>
      <c r="WEU77" s="44"/>
      <c r="WEV77" s="44"/>
      <c r="WEW77" s="44"/>
      <c r="WEX77" s="44"/>
      <c r="WEY77" s="44"/>
      <c r="WEZ77" s="44"/>
      <c r="WFA77" s="44"/>
      <c r="WFB77" s="44"/>
      <c r="WFC77" s="44"/>
      <c r="WFD77" s="44"/>
      <c r="WFE77" s="44"/>
      <c r="WFF77" s="44"/>
      <c r="WFG77" s="44"/>
      <c r="WFH77" s="44"/>
      <c r="WFI77" s="44"/>
      <c r="WFJ77" s="44"/>
      <c r="WFK77" s="44"/>
      <c r="WFL77" s="44"/>
      <c r="WFM77" s="44"/>
      <c r="WFN77" s="44"/>
      <c r="WFO77" s="44"/>
      <c r="WFP77" s="44"/>
      <c r="WFQ77" s="44"/>
      <c r="WFR77" s="44"/>
      <c r="WFS77" s="44"/>
      <c r="WFT77" s="44"/>
      <c r="WFU77" s="44"/>
      <c r="WFV77" s="44"/>
      <c r="WFW77" s="44"/>
      <c r="WFX77" s="44"/>
      <c r="WFY77" s="44"/>
      <c r="WFZ77" s="44"/>
      <c r="WGA77" s="44"/>
      <c r="WGB77" s="44"/>
      <c r="WGC77" s="44"/>
      <c r="WGD77" s="44"/>
      <c r="WGE77" s="44"/>
      <c r="WGF77" s="44"/>
      <c r="WGG77" s="44"/>
      <c r="WGH77" s="44"/>
      <c r="WGI77" s="44"/>
      <c r="WGJ77" s="44"/>
      <c r="WGK77" s="44"/>
      <c r="WGL77" s="44"/>
      <c r="WGM77" s="44"/>
      <c r="WGN77" s="44"/>
      <c r="WGO77" s="44"/>
      <c r="WGP77" s="44"/>
      <c r="WGQ77" s="44"/>
      <c r="WGR77" s="44"/>
      <c r="WGS77" s="44"/>
      <c r="WGT77" s="44"/>
      <c r="WGU77" s="44"/>
      <c r="WGV77" s="44"/>
      <c r="WGW77" s="44"/>
      <c r="WGX77" s="44"/>
      <c r="WGY77" s="44"/>
      <c r="WGZ77" s="44"/>
      <c r="WHA77" s="44"/>
      <c r="WHB77" s="44"/>
      <c r="WHC77" s="44"/>
      <c r="WHD77" s="44"/>
      <c r="WHE77" s="44"/>
      <c r="WHF77" s="44"/>
      <c r="WHG77" s="44"/>
      <c r="WHH77" s="44"/>
      <c r="WHI77" s="44"/>
      <c r="WHJ77" s="44"/>
      <c r="WHK77" s="44"/>
      <c r="WHL77" s="44"/>
      <c r="WHM77" s="44"/>
      <c r="WHN77" s="44"/>
      <c r="WHO77" s="44"/>
      <c r="WHP77" s="44"/>
      <c r="WHQ77" s="44"/>
      <c r="WHR77" s="44"/>
      <c r="WHS77" s="44"/>
      <c r="WHT77" s="44"/>
      <c r="WHU77" s="44"/>
      <c r="WHV77" s="44"/>
      <c r="WHW77" s="44"/>
      <c r="WHX77" s="44"/>
      <c r="WHY77" s="44"/>
      <c r="WHZ77" s="44"/>
      <c r="WIA77" s="44"/>
      <c r="WIB77" s="44"/>
      <c r="WIC77" s="44"/>
      <c r="WID77" s="44"/>
      <c r="WIE77" s="44"/>
      <c r="WIF77" s="44"/>
      <c r="WIG77" s="44"/>
      <c r="WIH77" s="44"/>
      <c r="WII77" s="44"/>
      <c r="WIJ77" s="44"/>
      <c r="WIK77" s="44"/>
      <c r="WIL77" s="44"/>
      <c r="WIM77" s="44"/>
      <c r="WIN77" s="44"/>
      <c r="WIO77" s="44"/>
      <c r="WIP77" s="44"/>
      <c r="WIQ77" s="44"/>
      <c r="WIR77" s="44"/>
      <c r="WIS77" s="44"/>
      <c r="WIT77" s="44"/>
      <c r="WIU77" s="44"/>
      <c r="WIV77" s="44"/>
      <c r="WIW77" s="44"/>
      <c r="WIX77" s="44"/>
      <c r="WIY77" s="44"/>
      <c r="WIZ77" s="44"/>
      <c r="WJA77" s="44"/>
      <c r="WJB77" s="44"/>
      <c r="WJC77" s="44"/>
      <c r="WJD77" s="44"/>
      <c r="WJE77" s="44"/>
      <c r="WJF77" s="44"/>
      <c r="WJG77" s="44"/>
      <c r="WJH77" s="44"/>
      <c r="WJI77" s="44"/>
      <c r="WJJ77" s="44"/>
      <c r="WJK77" s="44"/>
      <c r="WJL77" s="44"/>
      <c r="WJM77" s="44"/>
      <c r="WJN77" s="44"/>
      <c r="WJO77" s="44"/>
      <c r="WJP77" s="44"/>
      <c r="WJQ77" s="44"/>
      <c r="WJR77" s="44"/>
      <c r="WJS77" s="44"/>
      <c r="WJT77" s="44"/>
      <c r="WJU77" s="44"/>
      <c r="WJV77" s="44"/>
      <c r="WJW77" s="44"/>
      <c r="WJX77" s="44"/>
      <c r="WJY77" s="44"/>
      <c r="WJZ77" s="44"/>
      <c r="WKA77" s="44"/>
      <c r="WKB77" s="44"/>
      <c r="WKC77" s="44"/>
      <c r="WKD77" s="44"/>
      <c r="WKE77" s="44"/>
      <c r="WKF77" s="44"/>
      <c r="WKG77" s="44"/>
      <c r="WKH77" s="44"/>
      <c r="WKI77" s="44"/>
      <c r="WKJ77" s="44"/>
      <c r="WKK77" s="44"/>
      <c r="WKL77" s="44"/>
      <c r="WKM77" s="44"/>
      <c r="WKN77" s="44"/>
      <c r="WKO77" s="44"/>
      <c r="WKP77" s="44"/>
      <c r="WKQ77" s="44"/>
      <c r="WKR77" s="44"/>
      <c r="WKS77" s="44"/>
      <c r="WKT77" s="44"/>
      <c r="WKU77" s="44"/>
      <c r="WKV77" s="44"/>
      <c r="WKW77" s="44"/>
      <c r="WKX77" s="44"/>
      <c r="WKY77" s="44"/>
      <c r="WKZ77" s="44"/>
      <c r="WLA77" s="44"/>
      <c r="WLB77" s="44"/>
      <c r="WLC77" s="44"/>
      <c r="WLD77" s="44"/>
      <c r="WLE77" s="44"/>
      <c r="WLF77" s="44"/>
      <c r="WLG77" s="44"/>
      <c r="WLH77" s="44"/>
      <c r="WLI77" s="44"/>
      <c r="WLJ77" s="44"/>
      <c r="WLK77" s="44"/>
      <c r="WLL77" s="44"/>
      <c r="WLM77" s="44"/>
      <c r="WLN77" s="44"/>
      <c r="WLO77" s="44"/>
      <c r="WLP77" s="44"/>
      <c r="WLQ77" s="44"/>
      <c r="WLR77" s="44"/>
      <c r="WLS77" s="44"/>
      <c r="WLT77" s="44"/>
      <c r="WLU77" s="44"/>
      <c r="WLV77" s="44"/>
      <c r="WLW77" s="44"/>
      <c r="WLX77" s="44"/>
      <c r="WLY77" s="44"/>
      <c r="WLZ77" s="44"/>
      <c r="WMA77" s="44"/>
      <c r="WMB77" s="44"/>
      <c r="WMC77" s="44"/>
      <c r="WMD77" s="44"/>
      <c r="WME77" s="44"/>
      <c r="WMF77" s="44"/>
      <c r="WMG77" s="44"/>
      <c r="WMH77" s="44"/>
      <c r="WMI77" s="44"/>
      <c r="WMJ77" s="44"/>
      <c r="WMK77" s="44"/>
      <c r="WML77" s="44"/>
      <c r="WMM77" s="44"/>
      <c r="WMN77" s="44"/>
      <c r="WMO77" s="44"/>
      <c r="WMP77" s="44"/>
      <c r="WMQ77" s="44"/>
      <c r="WMR77" s="44"/>
      <c r="WMS77" s="44"/>
      <c r="WMT77" s="44"/>
      <c r="WMU77" s="44"/>
      <c r="WMV77" s="44"/>
      <c r="WMW77" s="44"/>
      <c r="WMX77" s="44"/>
      <c r="WMY77" s="44"/>
      <c r="WMZ77" s="44"/>
      <c r="WNA77" s="44"/>
      <c r="WNB77" s="44"/>
      <c r="WNC77" s="44"/>
      <c r="WND77" s="44"/>
      <c r="WNE77" s="44"/>
      <c r="WNF77" s="44"/>
      <c r="WNG77" s="44"/>
      <c r="WNH77" s="44"/>
      <c r="WNI77" s="44"/>
      <c r="WNJ77" s="44"/>
      <c r="WNK77" s="44"/>
      <c r="WNL77" s="44"/>
      <c r="WNM77" s="44"/>
      <c r="WNN77" s="44"/>
      <c r="WNO77" s="44"/>
      <c r="WNP77" s="44"/>
      <c r="WNQ77" s="44"/>
      <c r="WNR77" s="44"/>
      <c r="WNS77" s="44"/>
      <c r="WNT77" s="44"/>
      <c r="WNU77" s="44"/>
      <c r="WNV77" s="44"/>
      <c r="WNW77" s="44"/>
      <c r="WNX77" s="44"/>
      <c r="WNY77" s="44"/>
      <c r="WNZ77" s="44"/>
      <c r="WOA77" s="44"/>
      <c r="WOB77" s="44"/>
      <c r="WOC77" s="44"/>
      <c r="WOD77" s="44"/>
      <c r="WOE77" s="44"/>
      <c r="WOF77" s="44"/>
      <c r="WOG77" s="44"/>
      <c r="WOH77" s="44"/>
      <c r="WOI77" s="44"/>
      <c r="WOJ77" s="44"/>
      <c r="WOK77" s="44"/>
      <c r="WOL77" s="44"/>
      <c r="WOM77" s="44"/>
      <c r="WON77" s="44"/>
      <c r="WOO77" s="44"/>
      <c r="WOP77" s="44"/>
      <c r="WOQ77" s="44"/>
      <c r="WOR77" s="44"/>
      <c r="WOS77" s="44"/>
      <c r="WOT77" s="44"/>
      <c r="WOU77" s="44"/>
      <c r="WOV77" s="44"/>
      <c r="WOW77" s="44"/>
      <c r="WOX77" s="44"/>
      <c r="WOY77" s="44"/>
      <c r="WOZ77" s="44"/>
      <c r="WPA77" s="44"/>
      <c r="WPB77" s="44"/>
      <c r="WPC77" s="44"/>
      <c r="WPD77" s="44"/>
      <c r="WPE77" s="44"/>
      <c r="WPF77" s="44"/>
      <c r="WPG77" s="44"/>
      <c r="WPH77" s="44"/>
      <c r="WPI77" s="44"/>
      <c r="WPJ77" s="44"/>
      <c r="WPK77" s="44"/>
      <c r="WPL77" s="44"/>
      <c r="WPM77" s="44"/>
      <c r="WPN77" s="44"/>
      <c r="WPO77" s="44"/>
      <c r="WPP77" s="44"/>
      <c r="WPQ77" s="44"/>
      <c r="WPR77" s="44"/>
      <c r="WPS77" s="44"/>
      <c r="WPT77" s="44"/>
      <c r="WPU77" s="44"/>
      <c r="WPV77" s="44"/>
      <c r="WPW77" s="44"/>
      <c r="WPX77" s="44"/>
      <c r="WPY77" s="44"/>
      <c r="WPZ77" s="44"/>
      <c r="WQA77" s="44"/>
      <c r="WQB77" s="44"/>
      <c r="WQC77" s="44"/>
      <c r="WQD77" s="44"/>
      <c r="WQE77" s="44"/>
      <c r="WQF77" s="44"/>
      <c r="WQG77" s="44"/>
      <c r="WQH77" s="44"/>
      <c r="WQI77" s="44"/>
      <c r="WQJ77" s="44"/>
      <c r="WQK77" s="44"/>
      <c r="WQL77" s="44"/>
      <c r="WQM77" s="44"/>
      <c r="WQN77" s="44"/>
      <c r="WQO77" s="44"/>
      <c r="WQP77" s="44"/>
      <c r="WQQ77" s="44"/>
      <c r="WQR77" s="44"/>
      <c r="WQS77" s="44"/>
      <c r="WQT77" s="44"/>
      <c r="WQU77" s="44"/>
      <c r="WQV77" s="44"/>
      <c r="WQW77" s="44"/>
      <c r="WQX77" s="44"/>
      <c r="WQY77" s="44"/>
      <c r="WQZ77" s="44"/>
      <c r="WRA77" s="44"/>
      <c r="WRB77" s="44"/>
      <c r="WRC77" s="44"/>
      <c r="WRD77" s="44"/>
      <c r="WRE77" s="44"/>
      <c r="WRF77" s="44"/>
      <c r="WRG77" s="44"/>
      <c r="WRH77" s="44"/>
      <c r="WRI77" s="44"/>
      <c r="WRJ77" s="44"/>
      <c r="WRK77" s="44"/>
      <c r="WRL77" s="44"/>
      <c r="WRM77" s="44"/>
      <c r="WRN77" s="44"/>
      <c r="WRO77" s="44"/>
      <c r="WRP77" s="44"/>
      <c r="WRQ77" s="44"/>
      <c r="WRR77" s="44"/>
      <c r="WRS77" s="44"/>
      <c r="WRT77" s="44"/>
      <c r="WRU77" s="44"/>
      <c r="WRV77" s="44"/>
      <c r="WRW77" s="44"/>
      <c r="WRX77" s="44"/>
      <c r="WRY77" s="44"/>
      <c r="WRZ77" s="44"/>
      <c r="WSA77" s="44"/>
      <c r="WSB77" s="44"/>
      <c r="WSC77" s="44"/>
      <c r="WSD77" s="44"/>
      <c r="WSE77" s="44"/>
      <c r="WSF77" s="44"/>
      <c r="WSG77" s="44"/>
      <c r="WSH77" s="44"/>
      <c r="WSI77" s="44"/>
      <c r="WSJ77" s="44"/>
      <c r="WSK77" s="44"/>
      <c r="WSL77" s="44"/>
      <c r="WSM77" s="44"/>
      <c r="WSN77" s="44"/>
      <c r="WSO77" s="44"/>
      <c r="WSP77" s="44"/>
      <c r="WSQ77" s="44"/>
      <c r="WSR77" s="44"/>
      <c r="WSS77" s="44"/>
      <c r="WST77" s="44"/>
      <c r="WSU77" s="44"/>
      <c r="WSV77" s="44"/>
      <c r="WSW77" s="44"/>
      <c r="WSX77" s="44"/>
      <c r="WSY77" s="44"/>
      <c r="WSZ77" s="44"/>
      <c r="WTA77" s="44"/>
      <c r="WTB77" s="44"/>
      <c r="WTC77" s="44"/>
      <c r="WTD77" s="44"/>
      <c r="WTE77" s="44"/>
      <c r="WTF77" s="44"/>
      <c r="WTG77" s="44"/>
      <c r="WTH77" s="44"/>
      <c r="WTI77" s="44"/>
      <c r="WTJ77" s="44"/>
      <c r="WTK77" s="44"/>
      <c r="WTL77" s="44"/>
      <c r="WTM77" s="44"/>
      <c r="WTN77" s="44"/>
      <c r="WTO77" s="44"/>
      <c r="WTP77" s="44"/>
      <c r="WTQ77" s="44"/>
      <c r="WTR77" s="44"/>
      <c r="WTS77" s="44"/>
      <c r="WTT77" s="44"/>
      <c r="WTU77" s="44"/>
      <c r="WTV77" s="44"/>
      <c r="WTW77" s="44"/>
      <c r="WTX77" s="44"/>
      <c r="WTY77" s="44"/>
      <c r="WTZ77" s="44"/>
      <c r="WUA77" s="44"/>
      <c r="WUB77" s="44"/>
      <c r="WUC77" s="44"/>
      <c r="WUD77" s="44"/>
      <c r="WUE77" s="44"/>
      <c r="WUF77" s="44"/>
      <c r="WUG77" s="44"/>
      <c r="WUH77" s="44"/>
      <c r="WUI77" s="44"/>
      <c r="WUJ77" s="44"/>
      <c r="WUK77" s="44"/>
      <c r="WUL77" s="44"/>
      <c r="WUM77" s="44"/>
      <c r="WUN77" s="44"/>
      <c r="WUO77" s="44"/>
      <c r="WUP77" s="44"/>
      <c r="WUQ77" s="44"/>
      <c r="WUR77" s="44"/>
      <c r="WUS77" s="44"/>
      <c r="WUT77" s="44"/>
      <c r="WUU77" s="44"/>
      <c r="WUV77" s="44"/>
      <c r="WUW77" s="44"/>
      <c r="WUX77" s="44"/>
      <c r="WUY77" s="44"/>
      <c r="WUZ77" s="44"/>
      <c r="WVA77" s="44"/>
      <c r="WVB77" s="44"/>
      <c r="WVC77" s="44"/>
      <c r="WVD77" s="44"/>
      <c r="WVE77" s="44"/>
      <c r="WVF77" s="44"/>
      <c r="WVG77" s="44"/>
      <c r="WVH77" s="44"/>
      <c r="WVI77" s="44"/>
      <c r="WVJ77" s="44"/>
      <c r="WVK77" s="44"/>
      <c r="WVL77" s="44"/>
      <c r="WVM77" s="44"/>
      <c r="WVN77" s="44"/>
      <c r="WVO77" s="44"/>
      <c r="WVP77" s="44"/>
      <c r="WVQ77" s="44"/>
      <c r="WVR77" s="44"/>
      <c r="WVS77" s="44"/>
      <c r="WVT77" s="44"/>
      <c r="WVU77" s="44"/>
      <c r="WVV77" s="44"/>
      <c r="WVW77" s="44"/>
      <c r="WVX77" s="44"/>
      <c r="WVY77" s="44"/>
      <c r="WVZ77" s="44"/>
      <c r="WWA77" s="44"/>
      <c r="WWB77" s="44"/>
      <c r="WWC77" s="44"/>
      <c r="WWD77" s="44"/>
      <c r="WWE77" s="44"/>
      <c r="WWF77" s="44"/>
      <c r="WWG77" s="44"/>
      <c r="WWH77" s="44"/>
      <c r="WWI77" s="44"/>
      <c r="WWJ77" s="44"/>
      <c r="WWK77" s="44"/>
      <c r="WWL77" s="44"/>
      <c r="WWM77" s="44"/>
      <c r="WWN77" s="44"/>
      <c r="WWO77" s="44"/>
      <c r="WWP77" s="44"/>
      <c r="WWQ77" s="44"/>
      <c r="WWR77" s="44"/>
      <c r="WWS77" s="44"/>
      <c r="WWT77" s="44"/>
      <c r="WWU77" s="44"/>
      <c r="WWV77" s="44"/>
      <c r="WWW77" s="44"/>
      <c r="WWX77" s="44"/>
      <c r="WWY77" s="44"/>
      <c r="WWZ77" s="44"/>
      <c r="WXA77" s="44"/>
      <c r="WXB77" s="44"/>
      <c r="WXC77" s="44"/>
      <c r="WXD77" s="44"/>
      <c r="WXE77" s="44"/>
      <c r="WXF77" s="44"/>
      <c r="WXG77" s="44"/>
      <c r="WXH77" s="44"/>
      <c r="WXI77" s="44"/>
      <c r="WXJ77" s="44"/>
      <c r="WXK77" s="44"/>
      <c r="WXL77" s="44"/>
      <c r="WXM77" s="44"/>
      <c r="WXN77" s="44"/>
      <c r="WXO77" s="44"/>
      <c r="WXP77" s="44"/>
      <c r="WXQ77" s="44"/>
      <c r="WXR77" s="44"/>
      <c r="WXS77" s="44"/>
      <c r="WXT77" s="44"/>
      <c r="WXU77" s="44"/>
      <c r="WXV77" s="44"/>
      <c r="WXW77" s="44"/>
      <c r="WXX77" s="44"/>
      <c r="WXY77" s="44"/>
      <c r="WXZ77" s="44"/>
      <c r="WYA77" s="44"/>
      <c r="WYB77" s="44"/>
      <c r="WYC77" s="44"/>
      <c r="WYD77" s="44"/>
      <c r="WYE77" s="44"/>
      <c r="WYF77" s="44"/>
      <c r="WYG77" s="44"/>
      <c r="WYH77" s="44"/>
      <c r="WYI77" s="44"/>
      <c r="WYJ77" s="44"/>
      <c r="WYK77" s="44"/>
      <c r="WYL77" s="44"/>
      <c r="WYM77" s="44"/>
      <c r="WYN77" s="44"/>
      <c r="WYO77" s="44"/>
      <c r="WYP77" s="44"/>
      <c r="WYQ77" s="44"/>
      <c r="WYR77" s="44"/>
      <c r="WYS77" s="44"/>
      <c r="WYT77" s="44"/>
      <c r="WYU77" s="44"/>
      <c r="WYV77" s="44"/>
      <c r="WYW77" s="44"/>
      <c r="WYX77" s="44"/>
      <c r="WYY77" s="44"/>
      <c r="WYZ77" s="44"/>
      <c r="WZA77" s="44"/>
      <c r="WZB77" s="44"/>
      <c r="WZC77" s="44"/>
      <c r="WZD77" s="44"/>
      <c r="WZE77" s="44"/>
      <c r="WZF77" s="44"/>
      <c r="WZG77" s="44"/>
      <c r="WZH77" s="44"/>
      <c r="WZI77" s="44"/>
      <c r="WZJ77" s="44"/>
      <c r="WZK77" s="44"/>
      <c r="WZL77" s="44"/>
      <c r="WZM77" s="44"/>
      <c r="WZN77" s="44"/>
      <c r="WZO77" s="44"/>
      <c r="WZP77" s="44"/>
      <c r="WZQ77" s="44"/>
      <c r="WZR77" s="44"/>
      <c r="WZS77" s="44"/>
      <c r="WZT77" s="44"/>
      <c r="WZU77" s="44"/>
      <c r="WZV77" s="44"/>
      <c r="WZW77" s="44"/>
      <c r="WZX77" s="44"/>
      <c r="WZY77" s="44"/>
      <c r="WZZ77" s="44"/>
      <c r="XAA77" s="44"/>
      <c r="XAB77" s="44"/>
      <c r="XAC77" s="44"/>
      <c r="XAD77" s="44"/>
      <c r="XAE77" s="44"/>
      <c r="XAF77" s="44"/>
      <c r="XAG77" s="44"/>
      <c r="XAH77" s="44"/>
      <c r="XAI77" s="44"/>
      <c r="XAJ77" s="44"/>
      <c r="XAK77" s="44"/>
      <c r="XAL77" s="44"/>
      <c r="XAM77" s="44"/>
      <c r="XAN77" s="44"/>
      <c r="XAO77" s="44"/>
      <c r="XAP77" s="44"/>
      <c r="XAQ77" s="44"/>
      <c r="XAR77" s="44"/>
      <c r="XAS77" s="44"/>
      <c r="XAT77" s="44"/>
      <c r="XAU77" s="44"/>
      <c r="XAV77" s="44"/>
      <c r="XAW77" s="44"/>
      <c r="XAX77" s="44"/>
      <c r="XAY77" s="44"/>
      <c r="XAZ77" s="44"/>
      <c r="XBA77" s="44"/>
      <c r="XBB77" s="44"/>
      <c r="XBC77" s="44"/>
      <c r="XBD77" s="44"/>
      <c r="XBE77" s="44"/>
      <c r="XBF77" s="44"/>
      <c r="XBG77" s="44"/>
      <c r="XBH77" s="44"/>
      <c r="XBI77" s="44"/>
      <c r="XBJ77" s="44"/>
      <c r="XBK77" s="44"/>
      <c r="XBL77" s="44"/>
      <c r="XBM77" s="44"/>
      <c r="XBN77" s="44"/>
      <c r="XBO77" s="44"/>
      <c r="XBP77" s="44"/>
      <c r="XBQ77" s="44"/>
      <c r="XBR77" s="44"/>
      <c r="XBS77" s="44"/>
      <c r="XBT77" s="44"/>
      <c r="XBU77" s="44"/>
      <c r="XBV77" s="44"/>
      <c r="XBW77" s="44"/>
      <c r="XBX77" s="44"/>
      <c r="XBY77" s="44"/>
      <c r="XBZ77" s="44"/>
      <c r="XCA77" s="44"/>
      <c r="XCB77" s="44"/>
      <c r="XCC77" s="44"/>
      <c r="XCD77" s="44"/>
      <c r="XCE77" s="44"/>
      <c r="XCF77" s="44"/>
      <c r="XCG77" s="44"/>
      <c r="XCH77" s="44"/>
      <c r="XCI77" s="44"/>
      <c r="XCJ77" s="44"/>
      <c r="XCK77" s="44"/>
      <c r="XCL77" s="44"/>
      <c r="XCM77" s="44"/>
      <c r="XCN77" s="44"/>
      <c r="XCO77" s="44"/>
      <c r="XCP77" s="44"/>
      <c r="XCQ77" s="44"/>
      <c r="XCR77" s="44"/>
      <c r="XCS77" s="44"/>
      <c r="XCT77" s="44"/>
      <c r="XCU77" s="44"/>
      <c r="XCV77" s="44"/>
      <c r="XCW77" s="44"/>
      <c r="XCX77" s="44"/>
      <c r="XCY77" s="44"/>
      <c r="XCZ77" s="44"/>
      <c r="XDA77" s="44"/>
      <c r="XDB77" s="44"/>
      <c r="XDC77" s="44"/>
      <c r="XDD77" s="44"/>
      <c r="XDE77" s="44"/>
      <c r="XDF77" s="44"/>
      <c r="XDG77" s="44"/>
      <c r="XDH77" s="44"/>
      <c r="XDI77" s="44"/>
      <c r="XDJ77" s="44"/>
      <c r="XDK77" s="44"/>
      <c r="XDL77" s="44"/>
      <c r="XDM77" s="44"/>
      <c r="XDN77" s="44"/>
      <c r="XDO77" s="44"/>
      <c r="XDP77" s="44"/>
      <c r="XDQ77" s="44"/>
      <c r="XDR77" s="44"/>
      <c r="XDS77" s="44"/>
      <c r="XDT77" s="44"/>
      <c r="XDU77" s="44"/>
      <c r="XDV77" s="44"/>
      <c r="XDW77" s="44"/>
      <c r="XDX77" s="44"/>
      <c r="XDY77" s="44"/>
      <c r="XDZ77" s="44"/>
      <c r="XEA77" s="44"/>
      <c r="XEB77" s="44"/>
      <c r="XEC77" s="44"/>
    </row>
    <row r="78" spans="1:16357" ht="23" customHeight="1" x14ac:dyDescent="0.35">
      <c r="A78" s="457">
        <v>1596</v>
      </c>
      <c r="B78" s="480" t="s">
        <v>419</v>
      </c>
      <c r="C78" s="457" t="s">
        <v>266</v>
      </c>
      <c r="D78" s="480"/>
      <c r="E78" s="480"/>
      <c r="F78" s="470" t="s">
        <v>420</v>
      </c>
      <c r="G78" s="470" t="s">
        <v>112</v>
      </c>
      <c r="H78" s="451" t="s">
        <v>421</v>
      </c>
      <c r="I78" s="477"/>
      <c r="J78" s="461" t="s">
        <v>60</v>
      </c>
      <c r="K78" s="577">
        <v>0.99</v>
      </c>
      <c r="L78" s="452" t="s">
        <v>73</v>
      </c>
      <c r="M78" s="484"/>
      <c r="N78" s="478"/>
      <c r="O78" s="486"/>
      <c r="P78" s="461"/>
      <c r="Q78" s="461"/>
      <c r="R78" s="461"/>
      <c r="S78" s="461"/>
      <c r="T78" s="461"/>
      <c r="U78" s="461"/>
      <c r="V78" s="461"/>
      <c r="W78" s="461"/>
      <c r="X78" s="463"/>
      <c r="Y78" s="463"/>
      <c r="Z78" s="464"/>
      <c r="AA78" s="464"/>
      <c r="AB78" s="465"/>
      <c r="AC78" s="465"/>
      <c r="AD78" s="492"/>
      <c r="AE78" s="450" t="s">
        <v>50</v>
      </c>
      <c r="AF78" s="450"/>
      <c r="AG78" s="501"/>
      <c r="AH78" s="502"/>
      <c r="AI78" s="42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233"/>
      <c r="BB78" s="233"/>
      <c r="BC78" s="233"/>
      <c r="BD78" s="1"/>
      <c r="BE78" s="1"/>
      <c r="BF78" s="1"/>
      <c r="BG78" s="286" t="s">
        <v>73</v>
      </c>
      <c r="BH78" s="503">
        <v>500</v>
      </c>
      <c r="BI78" s="194" t="s">
        <v>230</v>
      </c>
      <c r="BJ78" s="549" t="s">
        <v>73</v>
      </c>
      <c r="BK78" s="3" t="s">
        <v>239</v>
      </c>
      <c r="BL78" s="3"/>
    </row>
    <row r="79" spans="1:16357" s="59" customFormat="1" ht="23" hidden="1" customHeight="1" x14ac:dyDescent="0.35">
      <c r="A79" s="457">
        <v>1600</v>
      </c>
      <c r="B79" s="480" t="s">
        <v>422</v>
      </c>
      <c r="C79" s="546" t="s">
        <v>132</v>
      </c>
      <c r="D79" s="546"/>
      <c r="E79" s="480"/>
      <c r="F79" s="470" t="s">
        <v>423</v>
      </c>
      <c r="G79" s="470" t="s">
        <v>424</v>
      </c>
      <c r="H79" s="451" t="s">
        <v>425</v>
      </c>
      <c r="I79" s="477"/>
      <c r="J79" s="461" t="s">
        <v>60</v>
      </c>
      <c r="K79" s="452">
        <f>[22]Info!$C$14</f>
        <v>1</v>
      </c>
      <c r="L79" s="452" t="s">
        <v>73</v>
      </c>
      <c r="M79" s="484"/>
      <c r="N79" s="485"/>
      <c r="O79" s="486"/>
      <c r="P79" s="461"/>
      <c r="Q79" s="461"/>
      <c r="R79" s="461"/>
      <c r="S79" s="461"/>
      <c r="T79" s="461"/>
      <c r="U79" s="461"/>
      <c r="V79" s="461"/>
      <c r="W79" s="461"/>
      <c r="X79" s="463"/>
      <c r="Y79" s="463"/>
      <c r="Z79" s="482"/>
      <c r="AA79" s="482"/>
      <c r="AB79" s="465"/>
      <c r="AC79" s="500"/>
      <c r="AD79" s="492"/>
      <c r="AE79" s="450" t="s">
        <v>50</v>
      </c>
      <c r="AF79" s="470"/>
      <c r="AG79" s="504"/>
      <c r="AH79" s="504"/>
      <c r="AI79" s="470"/>
      <c r="AJ79" s="1"/>
      <c r="AK79" s="1"/>
      <c r="AL79" s="1"/>
      <c r="AM79" s="1"/>
      <c r="AN79" s="1"/>
      <c r="AO79" s="1" t="s">
        <v>51</v>
      </c>
      <c r="AP79" s="1"/>
      <c r="AQ79" s="1" t="s">
        <v>51</v>
      </c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 t="s">
        <v>73</v>
      </c>
      <c r="BH79" s="503">
        <v>500</v>
      </c>
      <c r="BI79" s="194">
        <v>600</v>
      </c>
      <c r="BJ79" s="1"/>
      <c r="BK79" s="3" t="s">
        <v>74</v>
      </c>
      <c r="BL79" s="3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/>
      <c r="LP79" s="44"/>
      <c r="LQ79" s="44"/>
      <c r="LR79" s="44"/>
      <c r="LS79" s="44"/>
      <c r="LT79" s="44"/>
      <c r="LU79" s="44"/>
      <c r="LV79" s="44"/>
      <c r="LW79" s="44"/>
      <c r="LX79" s="44"/>
      <c r="LY79" s="44"/>
      <c r="LZ79" s="44"/>
      <c r="MA79" s="44"/>
      <c r="MB79" s="44"/>
      <c r="MC79" s="44"/>
      <c r="MD79" s="44"/>
      <c r="ME79" s="44"/>
      <c r="MF79" s="44"/>
      <c r="MG79" s="44"/>
      <c r="MH79" s="44"/>
      <c r="MI79" s="44"/>
      <c r="MJ79" s="44"/>
      <c r="MK79" s="44"/>
      <c r="ML79" s="44"/>
      <c r="MM79" s="44"/>
      <c r="MN79" s="44"/>
      <c r="MO79" s="44"/>
      <c r="MP79" s="44"/>
      <c r="MQ79" s="44"/>
      <c r="MR79" s="44"/>
      <c r="MS79" s="44"/>
      <c r="MT79" s="44"/>
      <c r="MU79" s="44"/>
      <c r="MV79" s="44"/>
      <c r="MW79" s="44"/>
      <c r="MX79" s="44"/>
      <c r="MY79" s="44"/>
      <c r="MZ79" s="44"/>
      <c r="NA79" s="44"/>
      <c r="NB79" s="44"/>
      <c r="NC79" s="44"/>
      <c r="ND79" s="44"/>
      <c r="NE79" s="44"/>
      <c r="NF79" s="44"/>
      <c r="NG79" s="44"/>
      <c r="NH79" s="44"/>
      <c r="NI79" s="44"/>
      <c r="NJ79" s="44"/>
      <c r="NK79" s="44"/>
      <c r="NL79" s="44"/>
      <c r="NM79" s="44"/>
      <c r="NN79" s="44"/>
      <c r="NO79" s="44"/>
      <c r="NP79" s="44"/>
      <c r="NQ79" s="44"/>
      <c r="NR79" s="44"/>
      <c r="NS79" s="44"/>
      <c r="NT79" s="44"/>
      <c r="NU79" s="44"/>
      <c r="NV79" s="44"/>
      <c r="NW79" s="44"/>
      <c r="NX79" s="44"/>
      <c r="NY79" s="44"/>
      <c r="NZ79" s="44"/>
      <c r="OA79" s="44"/>
      <c r="OB79" s="44"/>
      <c r="OC79" s="44"/>
      <c r="OD79" s="44"/>
      <c r="OE79" s="44"/>
      <c r="OF79" s="44"/>
      <c r="OG79" s="44"/>
      <c r="OH79" s="44"/>
      <c r="OI79" s="44"/>
      <c r="OJ79" s="44"/>
      <c r="OK79" s="44"/>
      <c r="OL79" s="44"/>
      <c r="OM79" s="44"/>
      <c r="ON79" s="44"/>
      <c r="OO79" s="44"/>
      <c r="OP79" s="44"/>
      <c r="OQ79" s="44"/>
      <c r="OR79" s="44"/>
      <c r="OS79" s="44"/>
      <c r="OT79" s="44"/>
      <c r="OU79" s="44"/>
      <c r="OV79" s="44"/>
      <c r="OW79" s="44"/>
      <c r="OX79" s="44"/>
      <c r="OY79" s="44"/>
      <c r="OZ79" s="44"/>
      <c r="PA79" s="44"/>
      <c r="PB79" s="44"/>
      <c r="PC79" s="44"/>
      <c r="PD79" s="44"/>
      <c r="PE79" s="44"/>
      <c r="PF79" s="44"/>
      <c r="PG79" s="44"/>
      <c r="PH79" s="44"/>
      <c r="PI79" s="44"/>
      <c r="PJ79" s="44"/>
      <c r="PK79" s="44"/>
      <c r="PL79" s="44"/>
      <c r="PM79" s="44"/>
      <c r="PN79" s="44"/>
      <c r="PO79" s="44"/>
      <c r="PP79" s="44"/>
      <c r="PQ79" s="44"/>
      <c r="PR79" s="44"/>
      <c r="PS79" s="44"/>
      <c r="PT79" s="44"/>
      <c r="PU79" s="44"/>
      <c r="PV79" s="44"/>
      <c r="PW79" s="44"/>
      <c r="PX79" s="44"/>
      <c r="PY79" s="44"/>
      <c r="PZ79" s="44"/>
      <c r="QA79" s="44"/>
      <c r="QB79" s="44"/>
      <c r="QC79" s="44"/>
      <c r="QD79" s="44"/>
      <c r="QE79" s="44"/>
      <c r="QF79" s="44"/>
      <c r="QG79" s="44"/>
      <c r="QH79" s="44"/>
      <c r="QI79" s="44"/>
      <c r="QJ79" s="44"/>
      <c r="QK79" s="44"/>
      <c r="QL79" s="44"/>
      <c r="QM79" s="44"/>
      <c r="QN79" s="44"/>
      <c r="QO79" s="44"/>
      <c r="QP79" s="44"/>
      <c r="QQ79" s="44"/>
      <c r="QR79" s="44"/>
      <c r="QS79" s="44"/>
      <c r="QT79" s="44"/>
      <c r="QU79" s="44"/>
      <c r="QV79" s="44"/>
      <c r="QW79" s="44"/>
      <c r="QX79" s="44"/>
      <c r="QY79" s="44"/>
      <c r="QZ79" s="44"/>
      <c r="RA79" s="44"/>
      <c r="RB79" s="44"/>
      <c r="RC79" s="44"/>
      <c r="RD79" s="44"/>
      <c r="RE79" s="44"/>
      <c r="RF79" s="44"/>
      <c r="RG79" s="44"/>
      <c r="RH79" s="44"/>
      <c r="RI79" s="44"/>
      <c r="RJ79" s="44"/>
      <c r="RK79" s="44"/>
      <c r="RL79" s="44"/>
      <c r="RM79" s="44"/>
      <c r="RN79" s="44"/>
      <c r="RO79" s="44"/>
      <c r="RP79" s="44"/>
      <c r="RQ79" s="44"/>
      <c r="RR79" s="44"/>
      <c r="RS79" s="44"/>
      <c r="RT79" s="44"/>
      <c r="RU79" s="44"/>
      <c r="RV79" s="44"/>
      <c r="RW79" s="44"/>
      <c r="RX79" s="44"/>
      <c r="RY79" s="44"/>
      <c r="RZ79" s="44"/>
      <c r="SA79" s="44"/>
      <c r="SB79" s="44"/>
      <c r="SC79" s="44"/>
      <c r="SD79" s="44"/>
      <c r="SE79" s="44"/>
      <c r="SF79" s="44"/>
      <c r="SG79" s="44"/>
      <c r="SH79" s="44"/>
      <c r="SI79" s="44"/>
      <c r="SJ79" s="44"/>
      <c r="SK79" s="44"/>
      <c r="SL79" s="44"/>
      <c r="SM79" s="44"/>
      <c r="SN79" s="44"/>
      <c r="SO79" s="44"/>
      <c r="SP79" s="44"/>
      <c r="SQ79" s="44"/>
      <c r="SR79" s="44"/>
      <c r="SS79" s="44"/>
      <c r="ST79" s="44"/>
      <c r="SU79" s="44"/>
      <c r="SV79" s="44"/>
      <c r="SW79" s="44"/>
      <c r="SX79" s="44"/>
      <c r="SY79" s="44"/>
      <c r="SZ79" s="44"/>
      <c r="TA79" s="44"/>
      <c r="TB79" s="44"/>
      <c r="TC79" s="44"/>
      <c r="TD79" s="44"/>
      <c r="TE79" s="44"/>
      <c r="TF79" s="44"/>
      <c r="TG79" s="44"/>
      <c r="TH79" s="44"/>
      <c r="TI79" s="44"/>
      <c r="TJ79" s="44"/>
      <c r="TK79" s="44"/>
      <c r="TL79" s="44"/>
      <c r="TM79" s="44"/>
      <c r="TN79" s="44"/>
      <c r="TO79" s="44"/>
      <c r="TP79" s="44"/>
      <c r="TQ79" s="44"/>
      <c r="TR79" s="44"/>
      <c r="TS79" s="44"/>
      <c r="TT79" s="44"/>
      <c r="TU79" s="44"/>
      <c r="TV79" s="44"/>
      <c r="TW79" s="44"/>
      <c r="TX79" s="44"/>
      <c r="TY79" s="44"/>
      <c r="TZ79" s="44"/>
      <c r="UA79" s="44"/>
      <c r="UB79" s="44"/>
      <c r="UC79" s="44"/>
      <c r="UD79" s="44"/>
      <c r="UE79" s="44"/>
      <c r="UF79" s="44"/>
      <c r="UG79" s="44"/>
      <c r="UH79" s="44"/>
      <c r="UI79" s="44"/>
      <c r="UJ79" s="44"/>
      <c r="UK79" s="44"/>
      <c r="UL79" s="44"/>
      <c r="UM79" s="44"/>
      <c r="UN79" s="44"/>
      <c r="UO79" s="44"/>
      <c r="UP79" s="44"/>
      <c r="UQ79" s="44"/>
      <c r="UR79" s="44"/>
      <c r="US79" s="44"/>
      <c r="UT79" s="44"/>
      <c r="UU79" s="44"/>
      <c r="UV79" s="44"/>
      <c r="UW79" s="44"/>
      <c r="UX79" s="44"/>
      <c r="UY79" s="44"/>
      <c r="UZ79" s="44"/>
      <c r="VA79" s="44"/>
      <c r="VB79" s="44"/>
      <c r="VC79" s="44"/>
      <c r="VD79" s="44"/>
      <c r="VE79" s="44"/>
      <c r="VF79" s="44"/>
      <c r="VG79" s="44"/>
      <c r="VH79" s="44"/>
      <c r="VI79" s="44"/>
      <c r="VJ79" s="44"/>
      <c r="VK79" s="44"/>
      <c r="VL79" s="44"/>
      <c r="VM79" s="44"/>
      <c r="VN79" s="44"/>
      <c r="VO79" s="44"/>
      <c r="VP79" s="44"/>
      <c r="VQ79" s="44"/>
      <c r="VR79" s="44"/>
      <c r="VS79" s="44"/>
      <c r="VT79" s="44"/>
      <c r="VU79" s="44"/>
      <c r="VV79" s="44"/>
      <c r="VW79" s="44"/>
      <c r="VX79" s="44"/>
      <c r="VY79" s="44"/>
      <c r="VZ79" s="44"/>
      <c r="WA79" s="44"/>
      <c r="WB79" s="44"/>
      <c r="WC79" s="44"/>
      <c r="WD79" s="44"/>
      <c r="WE79" s="44"/>
      <c r="WF79" s="44"/>
      <c r="WG79" s="44"/>
      <c r="WH79" s="44"/>
      <c r="WI79" s="44"/>
      <c r="WJ79" s="44"/>
      <c r="WK79" s="44"/>
      <c r="WL79" s="44"/>
      <c r="WM79" s="44"/>
      <c r="WN79" s="44"/>
      <c r="WO79" s="44"/>
      <c r="WP79" s="44"/>
      <c r="WQ79" s="44"/>
      <c r="WR79" s="44"/>
      <c r="WS79" s="44"/>
      <c r="WT79" s="44"/>
      <c r="WU79" s="44"/>
      <c r="WV79" s="44"/>
      <c r="WW79" s="44"/>
      <c r="WX79" s="44"/>
      <c r="WY79" s="44"/>
      <c r="WZ79" s="44"/>
      <c r="XA79" s="44"/>
      <c r="XB79" s="44"/>
      <c r="XC79" s="44"/>
      <c r="XD79" s="44"/>
      <c r="XE79" s="44"/>
      <c r="XF79" s="44"/>
      <c r="XG79" s="44"/>
      <c r="XH79" s="44"/>
      <c r="XI79" s="44"/>
      <c r="XJ79" s="44"/>
      <c r="XK79" s="44"/>
      <c r="XL79" s="44"/>
      <c r="XM79" s="44"/>
      <c r="XN79" s="44"/>
      <c r="XO79" s="44"/>
      <c r="XP79" s="44"/>
      <c r="XQ79" s="44"/>
      <c r="XR79" s="44"/>
      <c r="XS79" s="44"/>
      <c r="XT79" s="44"/>
      <c r="XU79" s="44"/>
      <c r="XV79" s="44"/>
      <c r="XW79" s="44"/>
      <c r="XX79" s="44"/>
      <c r="XY79" s="44"/>
      <c r="XZ79" s="44"/>
      <c r="YA79" s="44"/>
      <c r="YB79" s="44"/>
      <c r="YC79" s="44"/>
      <c r="YD79" s="44"/>
      <c r="YE79" s="44"/>
      <c r="YF79" s="44"/>
      <c r="YG79" s="44"/>
      <c r="YH79" s="44"/>
      <c r="YI79" s="44"/>
      <c r="YJ79" s="44"/>
      <c r="YK79" s="44"/>
      <c r="YL79" s="44"/>
      <c r="YM79" s="44"/>
      <c r="YN79" s="44"/>
      <c r="YO79" s="44"/>
      <c r="YP79" s="44"/>
      <c r="YQ79" s="44"/>
      <c r="YR79" s="44"/>
      <c r="YS79" s="44"/>
      <c r="YT79" s="44"/>
      <c r="YU79" s="44"/>
      <c r="YV79" s="44"/>
      <c r="YW79" s="44"/>
      <c r="YX79" s="44"/>
      <c r="YY79" s="44"/>
      <c r="YZ79" s="44"/>
      <c r="ZA79" s="44"/>
      <c r="ZB79" s="44"/>
      <c r="ZC79" s="44"/>
      <c r="ZD79" s="44"/>
      <c r="ZE79" s="44"/>
      <c r="ZF79" s="44"/>
      <c r="ZG79" s="44"/>
      <c r="ZH79" s="44"/>
      <c r="ZI79" s="44"/>
      <c r="ZJ79" s="44"/>
      <c r="ZK79" s="44"/>
      <c r="ZL79" s="44"/>
      <c r="ZM79" s="44"/>
      <c r="ZN79" s="44"/>
      <c r="ZO79" s="44"/>
      <c r="ZP79" s="44"/>
      <c r="ZQ79" s="44"/>
      <c r="ZR79" s="44"/>
      <c r="ZS79" s="44"/>
      <c r="ZT79" s="44"/>
      <c r="ZU79" s="44"/>
      <c r="ZV79" s="44"/>
      <c r="ZW79" s="44"/>
      <c r="ZX79" s="44"/>
      <c r="ZY79" s="44"/>
      <c r="ZZ79" s="44"/>
      <c r="AAA79" s="44"/>
      <c r="AAB79" s="44"/>
      <c r="AAC79" s="44"/>
      <c r="AAD79" s="44"/>
      <c r="AAE79" s="44"/>
      <c r="AAF79" s="44"/>
      <c r="AAG79" s="44"/>
      <c r="AAH79" s="44"/>
      <c r="AAI79" s="44"/>
      <c r="AAJ79" s="44"/>
      <c r="AAK79" s="44"/>
      <c r="AAL79" s="44"/>
      <c r="AAM79" s="44"/>
      <c r="AAN79" s="44"/>
      <c r="AAO79" s="44"/>
      <c r="AAP79" s="44"/>
      <c r="AAQ79" s="44"/>
      <c r="AAR79" s="44"/>
      <c r="AAS79" s="44"/>
      <c r="AAT79" s="44"/>
      <c r="AAU79" s="44"/>
      <c r="AAV79" s="44"/>
      <c r="AAW79" s="44"/>
      <c r="AAX79" s="44"/>
      <c r="AAY79" s="44"/>
      <c r="AAZ79" s="44"/>
      <c r="ABA79" s="44"/>
      <c r="ABB79" s="44"/>
      <c r="ABC79" s="44"/>
      <c r="ABD79" s="44"/>
      <c r="ABE79" s="44"/>
      <c r="ABF79" s="44"/>
      <c r="ABG79" s="44"/>
      <c r="ABH79" s="44"/>
      <c r="ABI79" s="44"/>
      <c r="ABJ79" s="44"/>
      <c r="ABK79" s="44"/>
      <c r="ABL79" s="44"/>
      <c r="ABM79" s="44"/>
      <c r="ABN79" s="44"/>
      <c r="ABO79" s="44"/>
      <c r="ABP79" s="44"/>
      <c r="ABQ79" s="44"/>
      <c r="ABR79" s="44"/>
      <c r="ABS79" s="44"/>
      <c r="ABT79" s="44"/>
      <c r="ABU79" s="44"/>
      <c r="ABV79" s="44"/>
      <c r="ABW79" s="44"/>
      <c r="ABX79" s="44"/>
      <c r="ABY79" s="44"/>
      <c r="ABZ79" s="44"/>
      <c r="ACA79" s="44"/>
      <c r="ACB79" s="44"/>
      <c r="ACC79" s="44"/>
      <c r="ACD79" s="44"/>
      <c r="ACE79" s="44"/>
      <c r="ACF79" s="44"/>
      <c r="ACG79" s="44"/>
      <c r="ACH79" s="44"/>
      <c r="ACI79" s="44"/>
      <c r="ACJ79" s="44"/>
      <c r="ACK79" s="44"/>
      <c r="ACL79" s="44"/>
      <c r="ACM79" s="44"/>
      <c r="ACN79" s="44"/>
      <c r="ACO79" s="44"/>
      <c r="ACP79" s="44"/>
      <c r="ACQ79" s="44"/>
      <c r="ACR79" s="44"/>
      <c r="ACS79" s="44"/>
      <c r="ACT79" s="44"/>
      <c r="ACU79" s="44"/>
      <c r="ACV79" s="44"/>
      <c r="ACW79" s="44"/>
      <c r="ACX79" s="44"/>
      <c r="ACY79" s="44"/>
      <c r="ACZ79" s="44"/>
      <c r="ADA79" s="44"/>
      <c r="ADB79" s="44"/>
      <c r="ADC79" s="44"/>
      <c r="ADD79" s="44"/>
      <c r="ADE79" s="44"/>
      <c r="ADF79" s="44"/>
      <c r="ADG79" s="44"/>
      <c r="ADH79" s="44"/>
      <c r="ADI79" s="44"/>
      <c r="ADJ79" s="44"/>
      <c r="ADK79" s="44"/>
      <c r="ADL79" s="44"/>
      <c r="ADM79" s="44"/>
      <c r="ADN79" s="44"/>
      <c r="ADO79" s="44"/>
      <c r="ADP79" s="44"/>
      <c r="ADQ79" s="44"/>
      <c r="ADR79" s="44"/>
      <c r="ADS79" s="44"/>
      <c r="ADT79" s="44"/>
      <c r="ADU79" s="44"/>
      <c r="ADV79" s="44"/>
      <c r="ADW79" s="44"/>
      <c r="ADX79" s="44"/>
      <c r="ADY79" s="44"/>
      <c r="ADZ79" s="44"/>
      <c r="AEA79" s="44"/>
      <c r="AEB79" s="44"/>
      <c r="AEC79" s="44"/>
      <c r="AED79" s="44"/>
      <c r="AEE79" s="44"/>
      <c r="AEF79" s="44"/>
      <c r="AEG79" s="44"/>
      <c r="AEH79" s="44"/>
      <c r="AEI79" s="44"/>
      <c r="AEJ79" s="44"/>
      <c r="AEK79" s="44"/>
      <c r="AEL79" s="44"/>
      <c r="AEM79" s="44"/>
      <c r="AEN79" s="44"/>
      <c r="AEO79" s="44"/>
      <c r="AEP79" s="44"/>
      <c r="AEQ79" s="44"/>
      <c r="AER79" s="44"/>
      <c r="AES79" s="44"/>
      <c r="AET79" s="44"/>
      <c r="AEU79" s="44"/>
      <c r="AEV79" s="44"/>
      <c r="AEW79" s="44"/>
      <c r="AEX79" s="44"/>
      <c r="AEY79" s="44"/>
      <c r="AEZ79" s="44"/>
      <c r="AFA79" s="44"/>
      <c r="AFB79" s="44"/>
      <c r="AFC79" s="44"/>
      <c r="AFD79" s="44"/>
      <c r="AFE79" s="44"/>
      <c r="AFF79" s="44"/>
      <c r="AFG79" s="44"/>
      <c r="AFH79" s="44"/>
      <c r="AFI79" s="44"/>
      <c r="AFJ79" s="44"/>
      <c r="AFK79" s="44"/>
      <c r="AFL79" s="44"/>
      <c r="AFM79" s="44"/>
      <c r="AFN79" s="44"/>
      <c r="AFO79" s="44"/>
      <c r="AFP79" s="44"/>
      <c r="AFQ79" s="44"/>
      <c r="AFR79" s="44"/>
      <c r="AFS79" s="44"/>
      <c r="AFT79" s="44"/>
      <c r="AFU79" s="44"/>
      <c r="AFV79" s="44"/>
      <c r="AFW79" s="44"/>
      <c r="AFX79" s="44"/>
      <c r="AFY79" s="44"/>
      <c r="AFZ79" s="44"/>
      <c r="AGA79" s="44"/>
      <c r="AGB79" s="44"/>
      <c r="AGC79" s="44"/>
      <c r="AGD79" s="44"/>
      <c r="AGE79" s="44"/>
      <c r="AGF79" s="44"/>
      <c r="AGG79" s="44"/>
      <c r="AGH79" s="44"/>
      <c r="AGI79" s="44"/>
      <c r="AGJ79" s="44"/>
      <c r="AGK79" s="44"/>
      <c r="AGL79" s="44"/>
      <c r="AGM79" s="44"/>
      <c r="AGN79" s="44"/>
      <c r="AGO79" s="44"/>
      <c r="AGP79" s="44"/>
      <c r="AGQ79" s="44"/>
      <c r="AGR79" s="44"/>
      <c r="AGS79" s="44"/>
      <c r="AGT79" s="44"/>
      <c r="AGU79" s="44"/>
      <c r="AGV79" s="44"/>
      <c r="AGW79" s="44"/>
      <c r="AGX79" s="44"/>
      <c r="AGY79" s="44"/>
      <c r="AGZ79" s="44"/>
      <c r="AHA79" s="44"/>
      <c r="AHB79" s="44"/>
      <c r="AHC79" s="44"/>
      <c r="AHD79" s="44"/>
      <c r="AHE79" s="44"/>
      <c r="AHF79" s="44"/>
      <c r="AHG79" s="44"/>
      <c r="AHH79" s="44"/>
      <c r="AHI79" s="44"/>
      <c r="AHJ79" s="44"/>
      <c r="AHK79" s="44"/>
      <c r="AHL79" s="44"/>
      <c r="AHM79" s="44"/>
      <c r="AHN79" s="44"/>
      <c r="AHO79" s="44"/>
      <c r="AHP79" s="44"/>
      <c r="AHQ79" s="44"/>
      <c r="AHR79" s="44"/>
      <c r="AHS79" s="44"/>
      <c r="AHT79" s="44"/>
      <c r="AHU79" s="44"/>
      <c r="AHV79" s="44"/>
      <c r="AHW79" s="44"/>
      <c r="AHX79" s="44"/>
      <c r="AHY79" s="44"/>
      <c r="AHZ79" s="44"/>
      <c r="AIA79" s="44"/>
      <c r="AIB79" s="44"/>
      <c r="AIC79" s="44"/>
      <c r="AID79" s="44"/>
      <c r="AIE79" s="44"/>
      <c r="AIF79" s="44"/>
      <c r="AIG79" s="44"/>
      <c r="AIH79" s="44"/>
      <c r="AII79" s="44"/>
      <c r="AIJ79" s="44"/>
      <c r="AIK79" s="44"/>
      <c r="AIL79" s="44"/>
      <c r="AIM79" s="44"/>
      <c r="AIN79" s="44"/>
      <c r="AIO79" s="44"/>
      <c r="AIP79" s="44"/>
      <c r="AIQ79" s="44"/>
      <c r="AIR79" s="44"/>
      <c r="AIS79" s="44"/>
      <c r="AIT79" s="44"/>
      <c r="AIU79" s="44"/>
      <c r="AIV79" s="44"/>
      <c r="AIW79" s="44"/>
      <c r="AIX79" s="44"/>
      <c r="AIY79" s="44"/>
      <c r="AIZ79" s="44"/>
      <c r="AJA79" s="44"/>
      <c r="AJB79" s="44"/>
      <c r="AJC79" s="44"/>
      <c r="AJD79" s="44"/>
      <c r="AJE79" s="44"/>
      <c r="AJF79" s="44"/>
      <c r="AJG79" s="44"/>
      <c r="AJH79" s="44"/>
      <c r="AJI79" s="44"/>
      <c r="AJJ79" s="44"/>
      <c r="AJK79" s="44"/>
      <c r="AJL79" s="44"/>
      <c r="AJM79" s="44"/>
      <c r="AJN79" s="44"/>
      <c r="AJO79" s="44"/>
      <c r="AJP79" s="44"/>
      <c r="AJQ79" s="44"/>
      <c r="AJR79" s="44"/>
      <c r="AJS79" s="44"/>
      <c r="AJT79" s="44"/>
      <c r="AJU79" s="44"/>
      <c r="AJV79" s="44"/>
      <c r="AJW79" s="44"/>
      <c r="AJX79" s="44"/>
      <c r="AJY79" s="44"/>
      <c r="AJZ79" s="44"/>
      <c r="AKA79" s="44"/>
      <c r="AKB79" s="44"/>
      <c r="AKC79" s="44"/>
      <c r="AKD79" s="44"/>
      <c r="AKE79" s="44"/>
      <c r="AKF79" s="44"/>
      <c r="AKG79" s="44"/>
      <c r="AKH79" s="44"/>
      <c r="AKI79" s="44"/>
      <c r="AKJ79" s="44"/>
      <c r="AKK79" s="44"/>
      <c r="AKL79" s="44"/>
      <c r="AKM79" s="44"/>
      <c r="AKN79" s="44"/>
      <c r="AKO79" s="44"/>
      <c r="AKP79" s="44"/>
      <c r="AKQ79" s="44"/>
      <c r="AKR79" s="44"/>
      <c r="AKS79" s="44"/>
      <c r="AKT79" s="44"/>
      <c r="AKU79" s="44"/>
      <c r="AKV79" s="44"/>
      <c r="AKW79" s="44"/>
      <c r="AKX79" s="44"/>
      <c r="AKY79" s="44"/>
      <c r="AKZ79" s="44"/>
      <c r="ALA79" s="44"/>
      <c r="ALB79" s="44"/>
      <c r="ALC79" s="44"/>
      <c r="ALD79" s="44"/>
      <c r="ALE79" s="44"/>
      <c r="ALF79" s="44"/>
      <c r="ALG79" s="44"/>
      <c r="ALH79" s="44"/>
      <c r="ALI79" s="44"/>
      <c r="ALJ79" s="44"/>
      <c r="ALK79" s="44"/>
      <c r="ALL79" s="44"/>
      <c r="ALM79" s="44"/>
      <c r="ALN79" s="44"/>
      <c r="ALO79" s="44"/>
      <c r="ALP79" s="44"/>
      <c r="ALQ79" s="44"/>
      <c r="ALR79" s="44"/>
      <c r="ALS79" s="44"/>
      <c r="ALT79" s="44"/>
      <c r="ALU79" s="44"/>
      <c r="ALV79" s="44"/>
      <c r="ALW79" s="44"/>
      <c r="ALX79" s="44"/>
      <c r="ALY79" s="44"/>
      <c r="ALZ79" s="44"/>
      <c r="AMA79" s="44"/>
      <c r="AMB79" s="44"/>
      <c r="AMC79" s="44"/>
      <c r="AMD79" s="44"/>
      <c r="AME79" s="44"/>
      <c r="AMF79" s="44"/>
      <c r="AMG79" s="44"/>
      <c r="AMH79" s="44"/>
      <c r="AMI79" s="44"/>
      <c r="AMJ79" s="44"/>
      <c r="AMK79" s="44"/>
      <c r="AML79" s="44"/>
      <c r="AMM79" s="44"/>
      <c r="AMN79" s="44"/>
      <c r="AMO79" s="44"/>
      <c r="AMP79" s="44"/>
      <c r="AMQ79" s="44"/>
      <c r="AMR79" s="44"/>
      <c r="AMS79" s="44"/>
      <c r="AMT79" s="44"/>
      <c r="AMU79" s="44"/>
      <c r="AMV79" s="44"/>
      <c r="AMW79" s="44"/>
      <c r="AMX79" s="44"/>
      <c r="AMY79" s="44"/>
      <c r="AMZ79" s="44"/>
      <c r="ANA79" s="44"/>
      <c r="ANB79" s="44"/>
      <c r="ANC79" s="44"/>
      <c r="AND79" s="44"/>
      <c r="ANE79" s="44"/>
      <c r="ANF79" s="44"/>
      <c r="ANG79" s="44"/>
      <c r="ANH79" s="44"/>
      <c r="ANI79" s="44"/>
      <c r="ANJ79" s="44"/>
      <c r="ANK79" s="44"/>
      <c r="ANL79" s="44"/>
      <c r="ANM79" s="44"/>
      <c r="ANN79" s="44"/>
      <c r="ANO79" s="44"/>
      <c r="ANP79" s="44"/>
      <c r="ANQ79" s="44"/>
      <c r="ANR79" s="44"/>
      <c r="ANS79" s="44"/>
      <c r="ANT79" s="44"/>
      <c r="ANU79" s="44"/>
      <c r="ANV79" s="44"/>
      <c r="ANW79" s="44"/>
      <c r="ANX79" s="44"/>
      <c r="ANY79" s="44"/>
      <c r="ANZ79" s="44"/>
      <c r="AOA79" s="44"/>
      <c r="AOB79" s="44"/>
      <c r="AOC79" s="44"/>
      <c r="AOD79" s="44"/>
      <c r="AOE79" s="44"/>
      <c r="AOF79" s="44"/>
      <c r="AOG79" s="44"/>
      <c r="AOH79" s="44"/>
      <c r="AOI79" s="44"/>
      <c r="AOJ79" s="44"/>
      <c r="AOK79" s="44"/>
      <c r="AOL79" s="44"/>
      <c r="AOM79" s="44"/>
      <c r="AON79" s="44"/>
      <c r="AOO79" s="44"/>
      <c r="AOP79" s="44"/>
      <c r="AOQ79" s="44"/>
      <c r="AOR79" s="44"/>
      <c r="AOS79" s="44"/>
      <c r="AOT79" s="44"/>
      <c r="AOU79" s="44"/>
      <c r="AOV79" s="44"/>
      <c r="AOW79" s="44"/>
      <c r="AOX79" s="44"/>
      <c r="AOY79" s="44"/>
      <c r="AOZ79" s="44"/>
      <c r="APA79" s="44"/>
      <c r="APB79" s="44"/>
      <c r="APC79" s="44"/>
      <c r="APD79" s="44"/>
      <c r="APE79" s="44"/>
      <c r="APF79" s="44"/>
      <c r="APG79" s="44"/>
      <c r="APH79" s="44"/>
      <c r="API79" s="44"/>
      <c r="APJ79" s="44"/>
      <c r="APK79" s="44"/>
      <c r="APL79" s="44"/>
      <c r="APM79" s="44"/>
      <c r="APN79" s="44"/>
      <c r="APO79" s="44"/>
      <c r="APP79" s="44"/>
      <c r="APQ79" s="44"/>
      <c r="APR79" s="44"/>
      <c r="APS79" s="44"/>
      <c r="APT79" s="44"/>
      <c r="APU79" s="44"/>
      <c r="APV79" s="44"/>
      <c r="APW79" s="44"/>
      <c r="APX79" s="44"/>
      <c r="APY79" s="44"/>
      <c r="APZ79" s="44"/>
      <c r="AQA79" s="44"/>
      <c r="AQB79" s="44"/>
      <c r="AQC79" s="44"/>
      <c r="AQD79" s="44"/>
      <c r="AQE79" s="44"/>
      <c r="AQF79" s="44"/>
      <c r="AQG79" s="44"/>
      <c r="AQH79" s="44"/>
      <c r="AQI79" s="44"/>
      <c r="AQJ79" s="44"/>
      <c r="AQK79" s="44"/>
      <c r="AQL79" s="44"/>
      <c r="AQM79" s="44"/>
      <c r="AQN79" s="44"/>
      <c r="AQO79" s="44"/>
      <c r="AQP79" s="44"/>
      <c r="AQQ79" s="44"/>
      <c r="AQR79" s="44"/>
      <c r="AQS79" s="44"/>
      <c r="AQT79" s="44"/>
      <c r="AQU79" s="44"/>
      <c r="AQV79" s="44"/>
      <c r="AQW79" s="44"/>
      <c r="AQX79" s="44"/>
      <c r="AQY79" s="44"/>
      <c r="AQZ79" s="44"/>
      <c r="ARA79" s="44"/>
      <c r="ARB79" s="44"/>
      <c r="ARC79" s="44"/>
      <c r="ARD79" s="44"/>
      <c r="ARE79" s="44"/>
      <c r="ARF79" s="44"/>
      <c r="ARG79" s="44"/>
      <c r="ARH79" s="44"/>
      <c r="ARI79" s="44"/>
      <c r="ARJ79" s="44"/>
      <c r="ARK79" s="44"/>
      <c r="ARL79" s="44"/>
      <c r="ARM79" s="44"/>
      <c r="ARN79" s="44"/>
      <c r="ARO79" s="44"/>
      <c r="ARP79" s="44"/>
      <c r="ARQ79" s="44"/>
      <c r="ARR79" s="44"/>
      <c r="ARS79" s="44"/>
      <c r="ART79" s="44"/>
      <c r="ARU79" s="44"/>
      <c r="ARV79" s="44"/>
      <c r="ARW79" s="44"/>
      <c r="ARX79" s="44"/>
      <c r="ARY79" s="44"/>
      <c r="ARZ79" s="44"/>
      <c r="ASA79" s="44"/>
      <c r="ASB79" s="44"/>
      <c r="ASC79" s="44"/>
      <c r="ASD79" s="44"/>
      <c r="ASE79" s="44"/>
      <c r="ASF79" s="44"/>
      <c r="ASG79" s="44"/>
      <c r="ASH79" s="44"/>
      <c r="ASI79" s="44"/>
      <c r="ASJ79" s="44"/>
      <c r="ASK79" s="44"/>
      <c r="ASL79" s="44"/>
      <c r="ASM79" s="44"/>
      <c r="ASN79" s="44"/>
      <c r="ASO79" s="44"/>
      <c r="ASP79" s="44"/>
      <c r="ASQ79" s="44"/>
      <c r="ASR79" s="44"/>
      <c r="ASS79" s="44"/>
      <c r="AST79" s="44"/>
      <c r="ASU79" s="44"/>
      <c r="ASV79" s="44"/>
      <c r="ASW79" s="44"/>
      <c r="ASX79" s="44"/>
      <c r="ASY79" s="44"/>
      <c r="ASZ79" s="44"/>
      <c r="ATA79" s="44"/>
      <c r="ATB79" s="44"/>
      <c r="ATC79" s="44"/>
      <c r="ATD79" s="44"/>
      <c r="ATE79" s="44"/>
      <c r="ATF79" s="44"/>
      <c r="ATG79" s="44"/>
      <c r="ATH79" s="44"/>
      <c r="ATI79" s="44"/>
      <c r="ATJ79" s="44"/>
      <c r="ATK79" s="44"/>
      <c r="ATL79" s="44"/>
      <c r="ATM79" s="44"/>
      <c r="ATN79" s="44"/>
      <c r="ATO79" s="44"/>
      <c r="ATP79" s="44"/>
      <c r="ATQ79" s="44"/>
      <c r="ATR79" s="44"/>
      <c r="ATS79" s="44"/>
      <c r="ATT79" s="44"/>
      <c r="ATU79" s="44"/>
      <c r="ATV79" s="44"/>
      <c r="ATW79" s="44"/>
      <c r="ATX79" s="44"/>
      <c r="ATY79" s="44"/>
      <c r="ATZ79" s="44"/>
      <c r="AUA79" s="44"/>
      <c r="AUB79" s="44"/>
      <c r="AUC79" s="44"/>
      <c r="AUD79" s="44"/>
      <c r="AUE79" s="44"/>
      <c r="AUF79" s="44"/>
      <c r="AUG79" s="44"/>
      <c r="AUH79" s="44"/>
      <c r="AUI79" s="44"/>
      <c r="AUJ79" s="44"/>
      <c r="AUK79" s="44"/>
      <c r="AUL79" s="44"/>
      <c r="AUM79" s="44"/>
      <c r="AUN79" s="44"/>
      <c r="AUO79" s="44"/>
      <c r="AUP79" s="44"/>
      <c r="AUQ79" s="44"/>
      <c r="AUR79" s="44"/>
      <c r="AUS79" s="44"/>
      <c r="AUT79" s="44"/>
      <c r="AUU79" s="44"/>
      <c r="AUV79" s="44"/>
      <c r="AUW79" s="44"/>
      <c r="AUX79" s="44"/>
      <c r="AUY79" s="44"/>
      <c r="AUZ79" s="44"/>
      <c r="AVA79" s="44"/>
      <c r="AVB79" s="44"/>
      <c r="AVC79" s="44"/>
      <c r="AVD79" s="44"/>
      <c r="AVE79" s="44"/>
      <c r="AVF79" s="44"/>
      <c r="AVG79" s="44"/>
      <c r="AVH79" s="44"/>
      <c r="AVI79" s="44"/>
      <c r="AVJ79" s="44"/>
      <c r="AVK79" s="44"/>
      <c r="AVL79" s="44"/>
      <c r="AVM79" s="44"/>
      <c r="AVN79" s="44"/>
      <c r="AVO79" s="44"/>
      <c r="AVP79" s="44"/>
      <c r="AVQ79" s="44"/>
      <c r="AVR79" s="44"/>
      <c r="AVS79" s="44"/>
      <c r="AVT79" s="44"/>
      <c r="AVU79" s="44"/>
      <c r="AVV79" s="44"/>
      <c r="AVW79" s="44"/>
      <c r="AVX79" s="44"/>
      <c r="AVY79" s="44"/>
      <c r="AVZ79" s="44"/>
      <c r="AWA79" s="44"/>
      <c r="AWB79" s="44"/>
      <c r="AWC79" s="44"/>
      <c r="AWD79" s="44"/>
      <c r="AWE79" s="44"/>
      <c r="AWF79" s="44"/>
      <c r="AWG79" s="44"/>
      <c r="AWH79" s="44"/>
      <c r="AWI79" s="44"/>
      <c r="AWJ79" s="44"/>
      <c r="AWK79" s="44"/>
      <c r="AWL79" s="44"/>
      <c r="AWM79" s="44"/>
      <c r="AWN79" s="44"/>
      <c r="AWO79" s="44"/>
      <c r="AWP79" s="44"/>
      <c r="AWQ79" s="44"/>
      <c r="AWR79" s="44"/>
      <c r="AWS79" s="44"/>
      <c r="AWT79" s="44"/>
      <c r="AWU79" s="44"/>
      <c r="AWV79" s="44"/>
      <c r="AWW79" s="44"/>
      <c r="AWX79" s="44"/>
      <c r="AWY79" s="44"/>
      <c r="AWZ79" s="44"/>
      <c r="AXA79" s="44"/>
      <c r="AXB79" s="44"/>
      <c r="AXC79" s="44"/>
      <c r="AXD79" s="44"/>
      <c r="AXE79" s="44"/>
      <c r="AXF79" s="44"/>
      <c r="AXG79" s="44"/>
      <c r="AXH79" s="44"/>
      <c r="AXI79" s="44"/>
      <c r="AXJ79" s="44"/>
      <c r="AXK79" s="44"/>
      <c r="AXL79" s="44"/>
      <c r="AXM79" s="44"/>
      <c r="AXN79" s="44"/>
      <c r="AXO79" s="44"/>
      <c r="AXP79" s="44"/>
      <c r="AXQ79" s="44"/>
      <c r="AXR79" s="44"/>
      <c r="AXS79" s="44"/>
      <c r="AXT79" s="44"/>
      <c r="AXU79" s="44"/>
      <c r="AXV79" s="44"/>
      <c r="AXW79" s="44"/>
      <c r="AXX79" s="44"/>
      <c r="AXY79" s="44"/>
      <c r="AXZ79" s="44"/>
      <c r="AYA79" s="44"/>
      <c r="AYB79" s="44"/>
      <c r="AYC79" s="44"/>
      <c r="AYD79" s="44"/>
      <c r="AYE79" s="44"/>
      <c r="AYF79" s="44"/>
      <c r="AYG79" s="44"/>
      <c r="AYH79" s="44"/>
      <c r="AYI79" s="44"/>
      <c r="AYJ79" s="44"/>
      <c r="AYK79" s="44"/>
      <c r="AYL79" s="44"/>
      <c r="AYM79" s="44"/>
      <c r="AYN79" s="44"/>
      <c r="AYO79" s="44"/>
      <c r="AYP79" s="44"/>
      <c r="AYQ79" s="44"/>
      <c r="AYR79" s="44"/>
      <c r="AYS79" s="44"/>
      <c r="AYT79" s="44"/>
      <c r="AYU79" s="44"/>
      <c r="AYV79" s="44"/>
      <c r="AYW79" s="44"/>
      <c r="AYX79" s="44"/>
      <c r="AYY79" s="44"/>
      <c r="AYZ79" s="44"/>
      <c r="AZA79" s="44"/>
      <c r="AZB79" s="44"/>
      <c r="AZC79" s="44"/>
      <c r="AZD79" s="44"/>
      <c r="AZE79" s="44"/>
      <c r="AZF79" s="44"/>
      <c r="AZG79" s="44"/>
      <c r="AZH79" s="44"/>
      <c r="AZI79" s="44"/>
      <c r="AZJ79" s="44"/>
      <c r="AZK79" s="44"/>
      <c r="AZL79" s="44"/>
      <c r="AZM79" s="44"/>
      <c r="AZN79" s="44"/>
      <c r="AZO79" s="44"/>
      <c r="AZP79" s="44"/>
      <c r="AZQ79" s="44"/>
      <c r="AZR79" s="44"/>
      <c r="AZS79" s="44"/>
      <c r="AZT79" s="44"/>
      <c r="AZU79" s="44"/>
      <c r="AZV79" s="44"/>
      <c r="AZW79" s="44"/>
      <c r="AZX79" s="44"/>
      <c r="AZY79" s="44"/>
      <c r="AZZ79" s="44"/>
      <c r="BAA79" s="44"/>
      <c r="BAB79" s="44"/>
      <c r="BAC79" s="44"/>
      <c r="BAD79" s="44"/>
      <c r="BAE79" s="44"/>
      <c r="BAF79" s="44"/>
      <c r="BAG79" s="44"/>
      <c r="BAH79" s="44"/>
      <c r="BAI79" s="44"/>
      <c r="BAJ79" s="44"/>
      <c r="BAK79" s="44"/>
      <c r="BAL79" s="44"/>
      <c r="BAM79" s="44"/>
      <c r="BAN79" s="44"/>
      <c r="BAO79" s="44"/>
      <c r="BAP79" s="44"/>
      <c r="BAQ79" s="44"/>
      <c r="BAR79" s="44"/>
      <c r="BAS79" s="44"/>
      <c r="BAT79" s="44"/>
      <c r="BAU79" s="44"/>
      <c r="BAV79" s="44"/>
      <c r="BAW79" s="44"/>
      <c r="BAX79" s="44"/>
      <c r="BAY79" s="44"/>
      <c r="BAZ79" s="44"/>
      <c r="BBA79" s="44"/>
      <c r="BBB79" s="44"/>
      <c r="BBC79" s="44"/>
      <c r="BBD79" s="44"/>
      <c r="BBE79" s="44"/>
      <c r="BBF79" s="44"/>
      <c r="BBG79" s="44"/>
      <c r="BBH79" s="44"/>
      <c r="BBI79" s="44"/>
      <c r="BBJ79" s="44"/>
      <c r="BBK79" s="44"/>
      <c r="BBL79" s="44"/>
      <c r="BBM79" s="44"/>
      <c r="BBN79" s="44"/>
      <c r="BBO79" s="44"/>
      <c r="BBP79" s="44"/>
      <c r="BBQ79" s="44"/>
      <c r="BBR79" s="44"/>
      <c r="BBS79" s="44"/>
      <c r="BBT79" s="44"/>
      <c r="BBU79" s="44"/>
      <c r="BBV79" s="44"/>
      <c r="BBW79" s="44"/>
      <c r="BBX79" s="44"/>
      <c r="BBY79" s="44"/>
      <c r="BBZ79" s="44"/>
      <c r="BCA79" s="44"/>
      <c r="BCB79" s="44"/>
      <c r="BCC79" s="44"/>
      <c r="BCD79" s="44"/>
      <c r="BCE79" s="44"/>
      <c r="BCF79" s="44"/>
      <c r="BCG79" s="44"/>
      <c r="BCH79" s="44"/>
      <c r="BCI79" s="44"/>
      <c r="BCJ79" s="44"/>
      <c r="BCK79" s="44"/>
      <c r="BCL79" s="44"/>
      <c r="BCM79" s="44"/>
      <c r="BCN79" s="44"/>
      <c r="BCO79" s="44"/>
      <c r="BCP79" s="44"/>
      <c r="BCQ79" s="44"/>
      <c r="BCR79" s="44"/>
      <c r="BCS79" s="44"/>
      <c r="BCT79" s="44"/>
      <c r="BCU79" s="44"/>
      <c r="BCV79" s="44"/>
      <c r="BCW79" s="44"/>
      <c r="BCX79" s="44"/>
      <c r="BCY79" s="44"/>
      <c r="BCZ79" s="44"/>
      <c r="BDA79" s="44"/>
      <c r="BDB79" s="44"/>
      <c r="BDC79" s="44"/>
      <c r="BDD79" s="44"/>
      <c r="BDE79" s="44"/>
      <c r="BDF79" s="44"/>
      <c r="BDG79" s="44"/>
      <c r="BDH79" s="44"/>
      <c r="BDI79" s="44"/>
      <c r="BDJ79" s="44"/>
      <c r="BDK79" s="44"/>
      <c r="BDL79" s="44"/>
      <c r="BDM79" s="44"/>
      <c r="BDN79" s="44"/>
      <c r="BDO79" s="44"/>
      <c r="BDP79" s="44"/>
      <c r="BDQ79" s="44"/>
      <c r="BDR79" s="44"/>
      <c r="BDS79" s="44"/>
      <c r="BDT79" s="44"/>
      <c r="BDU79" s="44"/>
      <c r="BDV79" s="44"/>
      <c r="BDW79" s="44"/>
      <c r="BDX79" s="44"/>
      <c r="BDY79" s="44"/>
      <c r="BDZ79" s="44"/>
      <c r="BEA79" s="44"/>
      <c r="BEB79" s="44"/>
      <c r="BEC79" s="44"/>
      <c r="BED79" s="44"/>
      <c r="BEE79" s="44"/>
      <c r="BEF79" s="44"/>
      <c r="BEG79" s="44"/>
      <c r="BEH79" s="44"/>
      <c r="BEI79" s="44"/>
      <c r="BEJ79" s="44"/>
      <c r="BEK79" s="44"/>
      <c r="BEL79" s="44"/>
      <c r="BEM79" s="44"/>
      <c r="BEN79" s="44"/>
      <c r="BEO79" s="44"/>
      <c r="BEP79" s="44"/>
      <c r="BEQ79" s="44"/>
      <c r="BER79" s="44"/>
      <c r="BES79" s="44"/>
      <c r="BET79" s="44"/>
      <c r="BEU79" s="44"/>
      <c r="BEV79" s="44"/>
      <c r="BEW79" s="44"/>
      <c r="BEX79" s="44"/>
      <c r="BEY79" s="44"/>
      <c r="BEZ79" s="44"/>
      <c r="BFA79" s="44"/>
      <c r="BFB79" s="44"/>
      <c r="BFC79" s="44"/>
      <c r="BFD79" s="44"/>
      <c r="BFE79" s="44"/>
      <c r="BFF79" s="44"/>
      <c r="BFG79" s="44"/>
      <c r="BFH79" s="44"/>
      <c r="BFI79" s="44"/>
      <c r="BFJ79" s="44"/>
      <c r="BFK79" s="44"/>
      <c r="BFL79" s="44"/>
      <c r="BFM79" s="44"/>
      <c r="BFN79" s="44"/>
      <c r="BFO79" s="44"/>
      <c r="BFP79" s="44"/>
      <c r="BFQ79" s="44"/>
      <c r="BFR79" s="44"/>
      <c r="BFS79" s="44"/>
      <c r="BFT79" s="44"/>
      <c r="BFU79" s="44"/>
      <c r="BFV79" s="44"/>
      <c r="BFW79" s="44"/>
      <c r="BFX79" s="44"/>
      <c r="BFY79" s="44"/>
      <c r="BFZ79" s="44"/>
      <c r="BGA79" s="44"/>
      <c r="BGB79" s="44"/>
      <c r="BGC79" s="44"/>
      <c r="BGD79" s="44"/>
      <c r="BGE79" s="44"/>
      <c r="BGF79" s="44"/>
      <c r="BGG79" s="44"/>
      <c r="BGH79" s="44"/>
      <c r="BGI79" s="44"/>
      <c r="BGJ79" s="44"/>
      <c r="BGK79" s="44"/>
      <c r="BGL79" s="44"/>
      <c r="BGM79" s="44"/>
      <c r="BGN79" s="44"/>
      <c r="BGO79" s="44"/>
      <c r="BGP79" s="44"/>
      <c r="BGQ79" s="44"/>
      <c r="BGR79" s="44"/>
      <c r="BGS79" s="44"/>
      <c r="BGT79" s="44"/>
      <c r="BGU79" s="44"/>
      <c r="BGV79" s="44"/>
      <c r="BGW79" s="44"/>
      <c r="BGX79" s="44"/>
      <c r="BGY79" s="44"/>
      <c r="BGZ79" s="44"/>
      <c r="BHA79" s="44"/>
      <c r="BHB79" s="44"/>
      <c r="BHC79" s="44"/>
      <c r="BHD79" s="44"/>
      <c r="BHE79" s="44"/>
      <c r="BHF79" s="44"/>
      <c r="BHG79" s="44"/>
      <c r="BHH79" s="44"/>
      <c r="BHI79" s="44"/>
      <c r="BHJ79" s="44"/>
      <c r="BHK79" s="44"/>
      <c r="BHL79" s="44"/>
      <c r="BHM79" s="44"/>
      <c r="BHN79" s="44"/>
      <c r="BHO79" s="44"/>
      <c r="BHP79" s="44"/>
      <c r="BHQ79" s="44"/>
      <c r="BHR79" s="44"/>
      <c r="BHS79" s="44"/>
      <c r="BHT79" s="44"/>
      <c r="BHU79" s="44"/>
      <c r="BHV79" s="44"/>
      <c r="BHW79" s="44"/>
      <c r="BHX79" s="44"/>
      <c r="BHY79" s="44"/>
      <c r="BHZ79" s="44"/>
      <c r="BIA79" s="44"/>
      <c r="BIB79" s="44"/>
      <c r="BIC79" s="44"/>
      <c r="BID79" s="44"/>
      <c r="BIE79" s="44"/>
      <c r="BIF79" s="44"/>
      <c r="BIG79" s="44"/>
      <c r="BIH79" s="44"/>
      <c r="BII79" s="44"/>
      <c r="BIJ79" s="44"/>
      <c r="BIK79" s="44"/>
      <c r="BIL79" s="44"/>
      <c r="BIM79" s="44"/>
      <c r="BIN79" s="44"/>
      <c r="BIO79" s="44"/>
      <c r="BIP79" s="44"/>
      <c r="BIQ79" s="44"/>
      <c r="BIR79" s="44"/>
      <c r="BIS79" s="44"/>
      <c r="BIT79" s="44"/>
      <c r="BIU79" s="44"/>
      <c r="BIV79" s="44"/>
      <c r="BIW79" s="44"/>
      <c r="BIX79" s="44"/>
      <c r="BIY79" s="44"/>
      <c r="BIZ79" s="44"/>
      <c r="BJA79" s="44"/>
      <c r="BJB79" s="44"/>
      <c r="BJC79" s="44"/>
      <c r="BJD79" s="44"/>
      <c r="BJE79" s="44"/>
      <c r="BJF79" s="44"/>
      <c r="BJG79" s="44"/>
      <c r="BJH79" s="44"/>
      <c r="BJI79" s="44"/>
      <c r="BJJ79" s="44"/>
      <c r="BJK79" s="44"/>
      <c r="BJL79" s="44"/>
      <c r="BJM79" s="44"/>
      <c r="BJN79" s="44"/>
      <c r="BJO79" s="44"/>
      <c r="BJP79" s="44"/>
      <c r="BJQ79" s="44"/>
      <c r="BJR79" s="44"/>
      <c r="BJS79" s="44"/>
      <c r="BJT79" s="44"/>
      <c r="BJU79" s="44"/>
      <c r="BJV79" s="44"/>
      <c r="BJW79" s="44"/>
      <c r="BJX79" s="44"/>
      <c r="BJY79" s="44"/>
      <c r="BJZ79" s="44"/>
      <c r="BKA79" s="44"/>
      <c r="BKB79" s="44"/>
      <c r="BKC79" s="44"/>
      <c r="BKD79" s="44"/>
      <c r="BKE79" s="44"/>
      <c r="BKF79" s="44"/>
      <c r="BKG79" s="44"/>
      <c r="BKH79" s="44"/>
      <c r="BKI79" s="44"/>
      <c r="BKJ79" s="44"/>
      <c r="BKK79" s="44"/>
      <c r="BKL79" s="44"/>
      <c r="BKM79" s="44"/>
      <c r="BKN79" s="44"/>
      <c r="BKO79" s="44"/>
      <c r="BKP79" s="44"/>
      <c r="BKQ79" s="44"/>
      <c r="BKR79" s="44"/>
      <c r="BKS79" s="44"/>
      <c r="BKT79" s="44"/>
      <c r="BKU79" s="44"/>
      <c r="BKV79" s="44"/>
      <c r="BKW79" s="44"/>
      <c r="BKX79" s="44"/>
      <c r="BKY79" s="44"/>
      <c r="BKZ79" s="44"/>
      <c r="BLA79" s="44"/>
      <c r="BLB79" s="44"/>
      <c r="BLC79" s="44"/>
      <c r="BLD79" s="44"/>
      <c r="BLE79" s="44"/>
      <c r="BLF79" s="44"/>
      <c r="BLG79" s="44"/>
      <c r="BLH79" s="44"/>
      <c r="BLI79" s="44"/>
      <c r="BLJ79" s="44"/>
      <c r="BLK79" s="44"/>
      <c r="BLL79" s="44"/>
      <c r="BLM79" s="44"/>
      <c r="BLN79" s="44"/>
      <c r="BLO79" s="44"/>
      <c r="BLP79" s="44"/>
      <c r="BLQ79" s="44"/>
      <c r="BLR79" s="44"/>
      <c r="BLS79" s="44"/>
      <c r="BLT79" s="44"/>
      <c r="BLU79" s="44"/>
      <c r="BLV79" s="44"/>
      <c r="BLW79" s="44"/>
      <c r="BLX79" s="44"/>
      <c r="BLY79" s="44"/>
      <c r="BLZ79" s="44"/>
      <c r="BMA79" s="44"/>
      <c r="BMB79" s="44"/>
      <c r="BMC79" s="44"/>
      <c r="BMD79" s="44"/>
      <c r="BME79" s="44"/>
      <c r="BMF79" s="44"/>
      <c r="BMG79" s="44"/>
      <c r="BMH79" s="44"/>
      <c r="BMI79" s="44"/>
      <c r="BMJ79" s="44"/>
      <c r="BMK79" s="44"/>
      <c r="BML79" s="44"/>
      <c r="BMM79" s="44"/>
      <c r="BMN79" s="44"/>
      <c r="BMO79" s="44"/>
      <c r="BMP79" s="44"/>
      <c r="BMQ79" s="44"/>
      <c r="BMR79" s="44"/>
      <c r="BMS79" s="44"/>
      <c r="BMT79" s="44"/>
      <c r="BMU79" s="44"/>
      <c r="BMV79" s="44"/>
      <c r="BMW79" s="44"/>
      <c r="BMX79" s="44"/>
      <c r="BMY79" s="44"/>
      <c r="BMZ79" s="44"/>
      <c r="BNA79" s="44"/>
      <c r="BNB79" s="44"/>
      <c r="BNC79" s="44"/>
      <c r="BND79" s="44"/>
      <c r="BNE79" s="44"/>
      <c r="BNF79" s="44"/>
      <c r="BNG79" s="44"/>
      <c r="BNH79" s="44"/>
      <c r="BNI79" s="44"/>
      <c r="BNJ79" s="44"/>
      <c r="BNK79" s="44"/>
      <c r="BNL79" s="44"/>
      <c r="BNM79" s="44"/>
      <c r="BNN79" s="44"/>
      <c r="BNO79" s="44"/>
      <c r="BNP79" s="44"/>
      <c r="BNQ79" s="44"/>
      <c r="BNR79" s="44"/>
      <c r="BNS79" s="44"/>
      <c r="BNT79" s="44"/>
      <c r="BNU79" s="44"/>
      <c r="BNV79" s="44"/>
      <c r="BNW79" s="44"/>
      <c r="BNX79" s="44"/>
      <c r="BNY79" s="44"/>
      <c r="BNZ79" s="44"/>
      <c r="BOA79" s="44"/>
      <c r="BOB79" s="44"/>
      <c r="BOC79" s="44"/>
      <c r="BOD79" s="44"/>
      <c r="BOE79" s="44"/>
      <c r="BOF79" s="44"/>
      <c r="BOG79" s="44"/>
      <c r="BOH79" s="44"/>
      <c r="BOI79" s="44"/>
      <c r="BOJ79" s="44"/>
      <c r="BOK79" s="44"/>
      <c r="BOL79" s="44"/>
      <c r="BOM79" s="44"/>
      <c r="BON79" s="44"/>
      <c r="BOO79" s="44"/>
      <c r="BOP79" s="44"/>
      <c r="BOQ79" s="44"/>
      <c r="BOR79" s="44"/>
      <c r="BOS79" s="44"/>
      <c r="BOT79" s="44"/>
      <c r="BOU79" s="44"/>
      <c r="BOV79" s="44"/>
      <c r="BOW79" s="44"/>
      <c r="BOX79" s="44"/>
      <c r="BOY79" s="44"/>
      <c r="BOZ79" s="44"/>
      <c r="BPA79" s="44"/>
      <c r="BPB79" s="44"/>
      <c r="BPC79" s="44"/>
      <c r="BPD79" s="44"/>
      <c r="BPE79" s="44"/>
      <c r="BPF79" s="44"/>
      <c r="BPG79" s="44"/>
      <c r="BPH79" s="44"/>
      <c r="BPI79" s="44"/>
      <c r="BPJ79" s="44"/>
      <c r="BPK79" s="44"/>
      <c r="BPL79" s="44"/>
      <c r="BPM79" s="44"/>
      <c r="BPN79" s="44"/>
      <c r="BPO79" s="44"/>
      <c r="BPP79" s="44"/>
      <c r="BPQ79" s="44"/>
      <c r="BPR79" s="44"/>
      <c r="BPS79" s="44"/>
      <c r="BPT79" s="44"/>
      <c r="BPU79" s="44"/>
      <c r="BPV79" s="44"/>
      <c r="BPW79" s="44"/>
      <c r="BPX79" s="44"/>
      <c r="BPY79" s="44"/>
      <c r="BPZ79" s="44"/>
      <c r="BQA79" s="44"/>
      <c r="BQB79" s="44"/>
      <c r="BQC79" s="44"/>
      <c r="BQD79" s="44"/>
      <c r="BQE79" s="44"/>
      <c r="BQF79" s="44"/>
      <c r="BQG79" s="44"/>
      <c r="BQH79" s="44"/>
      <c r="BQI79" s="44"/>
      <c r="BQJ79" s="44"/>
      <c r="BQK79" s="44"/>
      <c r="BQL79" s="44"/>
      <c r="BQM79" s="44"/>
      <c r="BQN79" s="44"/>
      <c r="BQO79" s="44"/>
      <c r="BQP79" s="44"/>
      <c r="BQQ79" s="44"/>
      <c r="BQR79" s="44"/>
      <c r="BQS79" s="44"/>
      <c r="BQT79" s="44"/>
      <c r="BQU79" s="44"/>
      <c r="BQV79" s="44"/>
      <c r="BQW79" s="44"/>
      <c r="BQX79" s="44"/>
      <c r="BQY79" s="44"/>
      <c r="BQZ79" s="44"/>
      <c r="BRA79" s="44"/>
      <c r="BRB79" s="44"/>
      <c r="BRC79" s="44"/>
      <c r="BRD79" s="44"/>
      <c r="BRE79" s="44"/>
      <c r="BRF79" s="44"/>
      <c r="BRG79" s="44"/>
      <c r="BRH79" s="44"/>
      <c r="BRI79" s="44"/>
      <c r="BRJ79" s="44"/>
      <c r="BRK79" s="44"/>
      <c r="BRL79" s="44"/>
      <c r="BRM79" s="44"/>
      <c r="BRN79" s="44"/>
      <c r="BRO79" s="44"/>
      <c r="BRP79" s="44"/>
      <c r="BRQ79" s="44"/>
      <c r="BRR79" s="44"/>
      <c r="BRS79" s="44"/>
      <c r="BRT79" s="44"/>
      <c r="BRU79" s="44"/>
      <c r="BRV79" s="44"/>
      <c r="BRW79" s="44"/>
      <c r="BRX79" s="44"/>
      <c r="BRY79" s="44"/>
      <c r="BRZ79" s="44"/>
      <c r="BSA79" s="44"/>
      <c r="BSB79" s="44"/>
      <c r="BSC79" s="44"/>
      <c r="BSD79" s="44"/>
      <c r="BSE79" s="44"/>
      <c r="BSF79" s="44"/>
      <c r="BSG79" s="44"/>
      <c r="BSH79" s="44"/>
      <c r="BSI79" s="44"/>
      <c r="BSJ79" s="44"/>
      <c r="BSK79" s="44"/>
      <c r="BSL79" s="44"/>
      <c r="BSM79" s="44"/>
      <c r="BSN79" s="44"/>
      <c r="BSO79" s="44"/>
      <c r="BSP79" s="44"/>
      <c r="BSQ79" s="44"/>
      <c r="BSR79" s="44"/>
      <c r="BSS79" s="44"/>
      <c r="BST79" s="44"/>
      <c r="BSU79" s="44"/>
      <c r="BSV79" s="44"/>
      <c r="BSW79" s="44"/>
      <c r="BSX79" s="44"/>
      <c r="BSY79" s="44"/>
      <c r="BSZ79" s="44"/>
      <c r="BTA79" s="44"/>
      <c r="BTB79" s="44"/>
      <c r="BTC79" s="44"/>
      <c r="BTD79" s="44"/>
      <c r="BTE79" s="44"/>
      <c r="BTF79" s="44"/>
      <c r="BTG79" s="44"/>
      <c r="BTH79" s="44"/>
      <c r="BTI79" s="44"/>
      <c r="BTJ79" s="44"/>
      <c r="BTK79" s="44"/>
      <c r="BTL79" s="44"/>
      <c r="BTM79" s="44"/>
      <c r="BTN79" s="44"/>
      <c r="BTO79" s="44"/>
      <c r="BTP79" s="44"/>
      <c r="BTQ79" s="44"/>
      <c r="BTR79" s="44"/>
      <c r="BTS79" s="44"/>
      <c r="BTT79" s="44"/>
      <c r="BTU79" s="44"/>
      <c r="BTV79" s="44"/>
      <c r="BTW79" s="44"/>
      <c r="BTX79" s="44"/>
      <c r="BTY79" s="44"/>
      <c r="BTZ79" s="44"/>
      <c r="BUA79" s="44"/>
      <c r="BUB79" s="44"/>
      <c r="BUC79" s="44"/>
      <c r="BUD79" s="44"/>
      <c r="BUE79" s="44"/>
      <c r="BUF79" s="44"/>
      <c r="BUG79" s="44"/>
      <c r="BUH79" s="44"/>
      <c r="BUI79" s="44"/>
      <c r="BUJ79" s="44"/>
      <c r="BUK79" s="44"/>
      <c r="BUL79" s="44"/>
      <c r="BUM79" s="44"/>
      <c r="BUN79" s="44"/>
      <c r="BUO79" s="44"/>
      <c r="BUP79" s="44"/>
      <c r="BUQ79" s="44"/>
      <c r="BUR79" s="44"/>
      <c r="BUS79" s="44"/>
      <c r="BUT79" s="44"/>
      <c r="BUU79" s="44"/>
      <c r="BUV79" s="44"/>
      <c r="BUW79" s="44"/>
      <c r="BUX79" s="44"/>
      <c r="BUY79" s="44"/>
      <c r="BUZ79" s="44"/>
      <c r="BVA79" s="44"/>
      <c r="BVB79" s="44"/>
      <c r="BVC79" s="44"/>
      <c r="BVD79" s="44"/>
      <c r="BVE79" s="44"/>
      <c r="BVF79" s="44"/>
      <c r="BVG79" s="44"/>
      <c r="BVH79" s="44"/>
      <c r="BVI79" s="44"/>
      <c r="BVJ79" s="44"/>
      <c r="BVK79" s="44"/>
      <c r="BVL79" s="44"/>
      <c r="BVM79" s="44"/>
      <c r="BVN79" s="44"/>
      <c r="BVO79" s="44"/>
      <c r="BVP79" s="44"/>
      <c r="BVQ79" s="44"/>
      <c r="BVR79" s="44"/>
      <c r="BVS79" s="44"/>
      <c r="BVT79" s="44"/>
      <c r="BVU79" s="44"/>
      <c r="BVV79" s="44"/>
      <c r="BVW79" s="44"/>
      <c r="BVX79" s="44"/>
      <c r="BVY79" s="44"/>
      <c r="BVZ79" s="44"/>
      <c r="BWA79" s="44"/>
      <c r="BWB79" s="44"/>
      <c r="BWC79" s="44"/>
      <c r="BWD79" s="44"/>
      <c r="BWE79" s="44"/>
      <c r="BWF79" s="44"/>
      <c r="BWG79" s="44"/>
      <c r="BWH79" s="44"/>
      <c r="BWI79" s="44"/>
      <c r="BWJ79" s="44"/>
      <c r="BWK79" s="44"/>
      <c r="BWL79" s="44"/>
      <c r="BWM79" s="44"/>
      <c r="BWN79" s="44"/>
      <c r="BWO79" s="44"/>
      <c r="BWP79" s="44"/>
      <c r="BWQ79" s="44"/>
      <c r="BWR79" s="44"/>
      <c r="BWS79" s="44"/>
      <c r="BWT79" s="44"/>
      <c r="BWU79" s="44"/>
      <c r="BWV79" s="44"/>
      <c r="BWW79" s="44"/>
      <c r="BWX79" s="44"/>
      <c r="BWY79" s="44"/>
      <c r="BWZ79" s="44"/>
      <c r="BXA79" s="44"/>
      <c r="BXB79" s="44"/>
      <c r="BXC79" s="44"/>
      <c r="BXD79" s="44"/>
      <c r="BXE79" s="44"/>
      <c r="BXF79" s="44"/>
      <c r="BXG79" s="44"/>
      <c r="BXH79" s="44"/>
      <c r="BXI79" s="44"/>
      <c r="BXJ79" s="44"/>
      <c r="BXK79" s="44"/>
      <c r="BXL79" s="44"/>
      <c r="BXM79" s="44"/>
      <c r="BXN79" s="44"/>
      <c r="BXO79" s="44"/>
      <c r="BXP79" s="44"/>
      <c r="BXQ79" s="44"/>
      <c r="BXR79" s="44"/>
      <c r="BXS79" s="44"/>
      <c r="BXT79" s="44"/>
      <c r="BXU79" s="44"/>
      <c r="BXV79" s="44"/>
      <c r="BXW79" s="44"/>
      <c r="BXX79" s="44"/>
      <c r="BXY79" s="44"/>
      <c r="BXZ79" s="44"/>
      <c r="BYA79" s="44"/>
      <c r="BYB79" s="44"/>
      <c r="BYC79" s="44"/>
      <c r="BYD79" s="44"/>
      <c r="BYE79" s="44"/>
      <c r="BYF79" s="44"/>
      <c r="BYG79" s="44"/>
      <c r="BYH79" s="44"/>
      <c r="BYI79" s="44"/>
      <c r="BYJ79" s="44"/>
      <c r="BYK79" s="44"/>
      <c r="BYL79" s="44"/>
      <c r="BYM79" s="44"/>
      <c r="BYN79" s="44"/>
      <c r="BYO79" s="44"/>
      <c r="BYP79" s="44"/>
      <c r="BYQ79" s="44"/>
      <c r="BYR79" s="44"/>
      <c r="BYS79" s="44"/>
      <c r="BYT79" s="44"/>
      <c r="BYU79" s="44"/>
      <c r="BYV79" s="44"/>
      <c r="BYW79" s="44"/>
      <c r="BYX79" s="44"/>
      <c r="BYY79" s="44"/>
      <c r="BYZ79" s="44"/>
      <c r="BZA79" s="44"/>
      <c r="BZB79" s="44"/>
      <c r="BZC79" s="44"/>
      <c r="BZD79" s="44"/>
      <c r="BZE79" s="44"/>
      <c r="BZF79" s="44"/>
      <c r="BZG79" s="44"/>
      <c r="BZH79" s="44"/>
      <c r="BZI79" s="44"/>
      <c r="BZJ79" s="44"/>
      <c r="BZK79" s="44"/>
      <c r="BZL79" s="44"/>
      <c r="BZM79" s="44"/>
      <c r="BZN79" s="44"/>
      <c r="BZO79" s="44"/>
      <c r="BZP79" s="44"/>
      <c r="BZQ79" s="44"/>
      <c r="BZR79" s="44"/>
      <c r="BZS79" s="44"/>
      <c r="BZT79" s="44"/>
      <c r="BZU79" s="44"/>
      <c r="BZV79" s="44"/>
      <c r="BZW79" s="44"/>
      <c r="BZX79" s="44"/>
      <c r="BZY79" s="44"/>
      <c r="BZZ79" s="44"/>
      <c r="CAA79" s="44"/>
      <c r="CAB79" s="44"/>
      <c r="CAC79" s="44"/>
      <c r="CAD79" s="44"/>
      <c r="CAE79" s="44"/>
      <c r="CAF79" s="44"/>
      <c r="CAG79" s="44"/>
      <c r="CAH79" s="44"/>
      <c r="CAI79" s="44"/>
      <c r="CAJ79" s="44"/>
      <c r="CAK79" s="44"/>
      <c r="CAL79" s="44"/>
      <c r="CAM79" s="44"/>
      <c r="CAN79" s="44"/>
      <c r="CAO79" s="44"/>
      <c r="CAP79" s="44"/>
      <c r="CAQ79" s="44"/>
      <c r="CAR79" s="44"/>
      <c r="CAS79" s="44"/>
      <c r="CAT79" s="44"/>
      <c r="CAU79" s="44"/>
      <c r="CAV79" s="44"/>
      <c r="CAW79" s="44"/>
      <c r="CAX79" s="44"/>
      <c r="CAY79" s="44"/>
      <c r="CAZ79" s="44"/>
      <c r="CBA79" s="44"/>
      <c r="CBB79" s="44"/>
      <c r="CBC79" s="44"/>
      <c r="CBD79" s="44"/>
      <c r="CBE79" s="44"/>
      <c r="CBF79" s="44"/>
      <c r="CBG79" s="44"/>
      <c r="CBH79" s="44"/>
      <c r="CBI79" s="44"/>
      <c r="CBJ79" s="44"/>
      <c r="CBK79" s="44"/>
      <c r="CBL79" s="44"/>
      <c r="CBM79" s="44"/>
      <c r="CBN79" s="44"/>
      <c r="CBO79" s="44"/>
      <c r="CBP79" s="44"/>
      <c r="CBQ79" s="44"/>
      <c r="CBR79" s="44"/>
      <c r="CBS79" s="44"/>
      <c r="CBT79" s="44"/>
      <c r="CBU79" s="44"/>
      <c r="CBV79" s="44"/>
      <c r="CBW79" s="44"/>
      <c r="CBX79" s="44"/>
      <c r="CBY79" s="44"/>
      <c r="CBZ79" s="44"/>
      <c r="CCA79" s="44"/>
      <c r="CCB79" s="44"/>
      <c r="CCC79" s="44"/>
      <c r="CCD79" s="44"/>
      <c r="CCE79" s="44"/>
      <c r="CCF79" s="44"/>
      <c r="CCG79" s="44"/>
      <c r="CCH79" s="44"/>
      <c r="CCI79" s="44"/>
      <c r="CCJ79" s="44"/>
      <c r="CCK79" s="44"/>
      <c r="CCL79" s="44"/>
      <c r="CCM79" s="44"/>
      <c r="CCN79" s="44"/>
      <c r="CCO79" s="44"/>
      <c r="CCP79" s="44"/>
      <c r="CCQ79" s="44"/>
      <c r="CCR79" s="44"/>
      <c r="CCS79" s="44"/>
      <c r="CCT79" s="44"/>
      <c r="CCU79" s="44"/>
      <c r="CCV79" s="44"/>
      <c r="CCW79" s="44"/>
      <c r="CCX79" s="44"/>
      <c r="CCY79" s="44"/>
      <c r="CCZ79" s="44"/>
      <c r="CDA79" s="44"/>
      <c r="CDB79" s="44"/>
      <c r="CDC79" s="44"/>
      <c r="CDD79" s="44"/>
      <c r="CDE79" s="44"/>
      <c r="CDF79" s="44"/>
      <c r="CDG79" s="44"/>
      <c r="CDH79" s="44"/>
      <c r="CDI79" s="44"/>
      <c r="CDJ79" s="44"/>
      <c r="CDK79" s="44"/>
      <c r="CDL79" s="44"/>
      <c r="CDM79" s="44"/>
      <c r="CDN79" s="44"/>
      <c r="CDO79" s="44"/>
      <c r="CDP79" s="44"/>
      <c r="CDQ79" s="44"/>
      <c r="CDR79" s="44"/>
      <c r="CDS79" s="44"/>
      <c r="CDT79" s="44"/>
      <c r="CDU79" s="44"/>
      <c r="CDV79" s="44"/>
      <c r="CDW79" s="44"/>
      <c r="CDX79" s="44"/>
      <c r="CDY79" s="44"/>
      <c r="CDZ79" s="44"/>
      <c r="CEA79" s="44"/>
      <c r="CEB79" s="44"/>
      <c r="CEC79" s="44"/>
      <c r="CED79" s="44"/>
      <c r="CEE79" s="44"/>
      <c r="CEF79" s="44"/>
      <c r="CEG79" s="44"/>
      <c r="CEH79" s="44"/>
      <c r="CEI79" s="44"/>
      <c r="CEJ79" s="44"/>
      <c r="CEK79" s="44"/>
      <c r="CEL79" s="44"/>
      <c r="CEM79" s="44"/>
      <c r="CEN79" s="44"/>
      <c r="CEO79" s="44"/>
      <c r="CEP79" s="44"/>
      <c r="CEQ79" s="44"/>
      <c r="CER79" s="44"/>
      <c r="CES79" s="44"/>
      <c r="CET79" s="44"/>
      <c r="CEU79" s="44"/>
      <c r="CEV79" s="44"/>
      <c r="CEW79" s="44"/>
      <c r="CEX79" s="44"/>
      <c r="CEY79" s="44"/>
      <c r="CEZ79" s="44"/>
      <c r="CFA79" s="44"/>
      <c r="CFB79" s="44"/>
      <c r="CFC79" s="44"/>
      <c r="CFD79" s="44"/>
      <c r="CFE79" s="44"/>
      <c r="CFF79" s="44"/>
      <c r="CFG79" s="44"/>
      <c r="CFH79" s="44"/>
      <c r="CFI79" s="44"/>
      <c r="CFJ79" s="44"/>
      <c r="CFK79" s="44"/>
      <c r="CFL79" s="44"/>
      <c r="CFM79" s="44"/>
      <c r="CFN79" s="44"/>
      <c r="CFO79" s="44"/>
      <c r="CFP79" s="44"/>
      <c r="CFQ79" s="44"/>
      <c r="CFR79" s="44"/>
      <c r="CFS79" s="44"/>
      <c r="CFT79" s="44"/>
      <c r="CFU79" s="44"/>
      <c r="CFV79" s="44"/>
      <c r="CFW79" s="44"/>
      <c r="CFX79" s="44"/>
      <c r="CFY79" s="44"/>
      <c r="CFZ79" s="44"/>
      <c r="CGA79" s="44"/>
      <c r="CGB79" s="44"/>
      <c r="CGC79" s="44"/>
      <c r="CGD79" s="44"/>
      <c r="CGE79" s="44"/>
      <c r="CGF79" s="44"/>
      <c r="CGG79" s="44"/>
      <c r="CGH79" s="44"/>
      <c r="CGI79" s="44"/>
      <c r="CGJ79" s="44"/>
      <c r="CGK79" s="44"/>
      <c r="CGL79" s="44"/>
      <c r="CGM79" s="44"/>
      <c r="CGN79" s="44"/>
      <c r="CGO79" s="44"/>
      <c r="CGP79" s="44"/>
      <c r="CGQ79" s="44"/>
      <c r="CGR79" s="44"/>
      <c r="CGS79" s="44"/>
      <c r="CGT79" s="44"/>
      <c r="CGU79" s="44"/>
      <c r="CGV79" s="44"/>
      <c r="CGW79" s="44"/>
      <c r="CGX79" s="44"/>
      <c r="CGY79" s="44"/>
      <c r="CGZ79" s="44"/>
      <c r="CHA79" s="44"/>
      <c r="CHB79" s="44"/>
      <c r="CHC79" s="44"/>
      <c r="CHD79" s="44"/>
      <c r="CHE79" s="44"/>
      <c r="CHF79" s="44"/>
      <c r="CHG79" s="44"/>
      <c r="CHH79" s="44"/>
      <c r="CHI79" s="44"/>
      <c r="CHJ79" s="44"/>
      <c r="CHK79" s="44"/>
      <c r="CHL79" s="44"/>
      <c r="CHM79" s="44"/>
      <c r="CHN79" s="44"/>
      <c r="CHO79" s="44"/>
      <c r="CHP79" s="44"/>
      <c r="CHQ79" s="44"/>
      <c r="CHR79" s="44"/>
      <c r="CHS79" s="44"/>
      <c r="CHT79" s="44"/>
      <c r="CHU79" s="44"/>
      <c r="CHV79" s="44"/>
      <c r="CHW79" s="44"/>
      <c r="CHX79" s="44"/>
      <c r="CHY79" s="44"/>
      <c r="CHZ79" s="44"/>
      <c r="CIA79" s="44"/>
      <c r="CIB79" s="44"/>
      <c r="CIC79" s="44"/>
      <c r="CID79" s="44"/>
      <c r="CIE79" s="44"/>
      <c r="CIF79" s="44"/>
      <c r="CIG79" s="44"/>
      <c r="CIH79" s="44"/>
      <c r="CII79" s="44"/>
      <c r="CIJ79" s="44"/>
      <c r="CIK79" s="44"/>
      <c r="CIL79" s="44"/>
      <c r="CIM79" s="44"/>
      <c r="CIN79" s="44"/>
      <c r="CIO79" s="44"/>
      <c r="CIP79" s="44"/>
      <c r="CIQ79" s="44"/>
      <c r="CIR79" s="44"/>
      <c r="CIS79" s="44"/>
      <c r="CIT79" s="44"/>
      <c r="CIU79" s="44"/>
      <c r="CIV79" s="44"/>
      <c r="CIW79" s="44"/>
      <c r="CIX79" s="44"/>
      <c r="CIY79" s="44"/>
      <c r="CIZ79" s="44"/>
      <c r="CJA79" s="44"/>
      <c r="CJB79" s="44"/>
      <c r="CJC79" s="44"/>
      <c r="CJD79" s="44"/>
      <c r="CJE79" s="44"/>
      <c r="CJF79" s="44"/>
      <c r="CJG79" s="44"/>
      <c r="CJH79" s="44"/>
      <c r="CJI79" s="44"/>
      <c r="CJJ79" s="44"/>
      <c r="CJK79" s="44"/>
      <c r="CJL79" s="44"/>
      <c r="CJM79" s="44"/>
      <c r="CJN79" s="44"/>
      <c r="CJO79" s="44"/>
      <c r="CJP79" s="44"/>
      <c r="CJQ79" s="44"/>
      <c r="CJR79" s="44"/>
      <c r="CJS79" s="44"/>
      <c r="CJT79" s="44"/>
      <c r="CJU79" s="44"/>
      <c r="CJV79" s="44"/>
      <c r="CJW79" s="44"/>
      <c r="CJX79" s="44"/>
      <c r="CJY79" s="44"/>
      <c r="CJZ79" s="44"/>
      <c r="CKA79" s="44"/>
      <c r="CKB79" s="44"/>
      <c r="CKC79" s="44"/>
      <c r="CKD79" s="44"/>
      <c r="CKE79" s="44"/>
      <c r="CKF79" s="44"/>
      <c r="CKG79" s="44"/>
      <c r="CKH79" s="44"/>
      <c r="CKI79" s="44"/>
      <c r="CKJ79" s="44"/>
      <c r="CKK79" s="44"/>
      <c r="CKL79" s="44"/>
      <c r="CKM79" s="44"/>
      <c r="CKN79" s="44"/>
      <c r="CKO79" s="44"/>
      <c r="CKP79" s="44"/>
      <c r="CKQ79" s="44"/>
      <c r="CKR79" s="44"/>
      <c r="CKS79" s="44"/>
      <c r="CKT79" s="44"/>
      <c r="CKU79" s="44"/>
      <c r="CKV79" s="44"/>
      <c r="CKW79" s="44"/>
      <c r="CKX79" s="44"/>
      <c r="CKY79" s="44"/>
      <c r="CKZ79" s="44"/>
      <c r="CLA79" s="44"/>
      <c r="CLB79" s="44"/>
      <c r="CLC79" s="44"/>
      <c r="CLD79" s="44"/>
      <c r="CLE79" s="44"/>
      <c r="CLF79" s="44"/>
      <c r="CLG79" s="44"/>
      <c r="CLH79" s="44"/>
      <c r="CLI79" s="44"/>
      <c r="CLJ79" s="44"/>
      <c r="CLK79" s="44"/>
      <c r="CLL79" s="44"/>
      <c r="CLM79" s="44"/>
      <c r="CLN79" s="44"/>
      <c r="CLO79" s="44"/>
      <c r="CLP79" s="44"/>
      <c r="CLQ79" s="44"/>
      <c r="CLR79" s="44"/>
      <c r="CLS79" s="44"/>
      <c r="CLT79" s="44"/>
      <c r="CLU79" s="44"/>
      <c r="CLV79" s="44"/>
      <c r="CLW79" s="44"/>
      <c r="CLX79" s="44"/>
      <c r="CLY79" s="44"/>
      <c r="CLZ79" s="44"/>
      <c r="CMA79" s="44"/>
      <c r="CMB79" s="44"/>
      <c r="CMC79" s="44"/>
      <c r="CMD79" s="44"/>
      <c r="CME79" s="44"/>
      <c r="CMF79" s="44"/>
      <c r="CMG79" s="44"/>
      <c r="CMH79" s="44"/>
      <c r="CMI79" s="44"/>
      <c r="CMJ79" s="44"/>
      <c r="CMK79" s="44"/>
      <c r="CML79" s="44"/>
      <c r="CMM79" s="44"/>
      <c r="CMN79" s="44"/>
      <c r="CMO79" s="44"/>
      <c r="CMP79" s="44"/>
      <c r="CMQ79" s="44"/>
      <c r="CMR79" s="44"/>
      <c r="CMS79" s="44"/>
      <c r="CMT79" s="44"/>
      <c r="CMU79" s="44"/>
      <c r="CMV79" s="44"/>
      <c r="CMW79" s="44"/>
      <c r="CMX79" s="44"/>
      <c r="CMY79" s="44"/>
      <c r="CMZ79" s="44"/>
      <c r="CNA79" s="44"/>
      <c r="CNB79" s="44"/>
      <c r="CNC79" s="44"/>
      <c r="CND79" s="44"/>
      <c r="CNE79" s="44"/>
      <c r="CNF79" s="44"/>
      <c r="CNG79" s="44"/>
      <c r="CNH79" s="44"/>
      <c r="CNI79" s="44"/>
      <c r="CNJ79" s="44"/>
      <c r="CNK79" s="44"/>
      <c r="CNL79" s="44"/>
      <c r="CNM79" s="44"/>
      <c r="CNN79" s="44"/>
      <c r="CNO79" s="44"/>
      <c r="CNP79" s="44"/>
      <c r="CNQ79" s="44"/>
      <c r="CNR79" s="44"/>
      <c r="CNS79" s="44"/>
      <c r="CNT79" s="44"/>
      <c r="CNU79" s="44"/>
      <c r="CNV79" s="44"/>
      <c r="CNW79" s="44"/>
      <c r="CNX79" s="44"/>
      <c r="CNY79" s="44"/>
      <c r="CNZ79" s="44"/>
      <c r="COA79" s="44"/>
      <c r="COB79" s="44"/>
      <c r="COC79" s="44"/>
      <c r="COD79" s="44"/>
      <c r="COE79" s="44"/>
      <c r="COF79" s="44"/>
      <c r="COG79" s="44"/>
      <c r="COH79" s="44"/>
      <c r="COI79" s="44"/>
      <c r="COJ79" s="44"/>
      <c r="COK79" s="44"/>
      <c r="COL79" s="44"/>
      <c r="COM79" s="44"/>
      <c r="CON79" s="44"/>
      <c r="COO79" s="44"/>
      <c r="COP79" s="44"/>
      <c r="COQ79" s="44"/>
      <c r="COR79" s="44"/>
      <c r="COS79" s="44"/>
      <c r="COT79" s="44"/>
      <c r="COU79" s="44"/>
      <c r="COV79" s="44"/>
      <c r="COW79" s="44"/>
      <c r="COX79" s="44"/>
      <c r="COY79" s="44"/>
      <c r="COZ79" s="44"/>
      <c r="CPA79" s="44"/>
      <c r="CPB79" s="44"/>
      <c r="CPC79" s="44"/>
      <c r="CPD79" s="44"/>
      <c r="CPE79" s="44"/>
      <c r="CPF79" s="44"/>
      <c r="CPG79" s="44"/>
      <c r="CPH79" s="44"/>
      <c r="CPI79" s="44"/>
      <c r="CPJ79" s="44"/>
      <c r="CPK79" s="44"/>
      <c r="CPL79" s="44"/>
      <c r="CPM79" s="44"/>
      <c r="CPN79" s="44"/>
      <c r="CPO79" s="44"/>
      <c r="CPP79" s="44"/>
      <c r="CPQ79" s="44"/>
      <c r="CPR79" s="44"/>
      <c r="CPS79" s="44"/>
      <c r="CPT79" s="44"/>
      <c r="CPU79" s="44"/>
      <c r="CPV79" s="44"/>
      <c r="CPW79" s="44"/>
      <c r="CPX79" s="44"/>
      <c r="CPY79" s="44"/>
      <c r="CPZ79" s="44"/>
      <c r="CQA79" s="44"/>
      <c r="CQB79" s="44"/>
      <c r="CQC79" s="44"/>
      <c r="CQD79" s="44"/>
      <c r="CQE79" s="44"/>
      <c r="CQF79" s="44"/>
      <c r="CQG79" s="44"/>
      <c r="CQH79" s="44"/>
      <c r="CQI79" s="44"/>
      <c r="CQJ79" s="44"/>
      <c r="CQK79" s="44"/>
      <c r="CQL79" s="44"/>
      <c r="CQM79" s="44"/>
      <c r="CQN79" s="44"/>
      <c r="CQO79" s="44"/>
      <c r="CQP79" s="44"/>
      <c r="CQQ79" s="44"/>
      <c r="CQR79" s="44"/>
      <c r="CQS79" s="44"/>
      <c r="CQT79" s="44"/>
      <c r="CQU79" s="44"/>
      <c r="CQV79" s="44"/>
      <c r="CQW79" s="44"/>
      <c r="CQX79" s="44"/>
      <c r="CQY79" s="44"/>
      <c r="CQZ79" s="44"/>
      <c r="CRA79" s="44"/>
      <c r="CRB79" s="44"/>
      <c r="CRC79" s="44"/>
      <c r="CRD79" s="44"/>
      <c r="CRE79" s="44"/>
      <c r="CRF79" s="44"/>
      <c r="CRG79" s="44"/>
      <c r="CRH79" s="44"/>
      <c r="CRI79" s="44"/>
      <c r="CRJ79" s="44"/>
      <c r="CRK79" s="44"/>
      <c r="CRL79" s="44"/>
      <c r="CRM79" s="44"/>
      <c r="CRN79" s="44"/>
      <c r="CRO79" s="44"/>
      <c r="CRP79" s="44"/>
      <c r="CRQ79" s="44"/>
      <c r="CRR79" s="44"/>
      <c r="CRS79" s="44"/>
      <c r="CRT79" s="44"/>
      <c r="CRU79" s="44"/>
      <c r="CRV79" s="44"/>
      <c r="CRW79" s="44"/>
      <c r="CRX79" s="44"/>
      <c r="CRY79" s="44"/>
      <c r="CRZ79" s="44"/>
      <c r="CSA79" s="44"/>
      <c r="CSB79" s="44"/>
      <c r="CSC79" s="44"/>
      <c r="CSD79" s="44"/>
      <c r="CSE79" s="44"/>
      <c r="CSF79" s="44"/>
      <c r="CSG79" s="44"/>
      <c r="CSH79" s="44"/>
      <c r="CSI79" s="44"/>
      <c r="CSJ79" s="44"/>
      <c r="CSK79" s="44"/>
      <c r="CSL79" s="44"/>
      <c r="CSM79" s="44"/>
      <c r="CSN79" s="44"/>
      <c r="CSO79" s="44"/>
      <c r="CSP79" s="44"/>
      <c r="CSQ79" s="44"/>
      <c r="CSR79" s="44"/>
      <c r="CSS79" s="44"/>
      <c r="CST79" s="44"/>
      <c r="CSU79" s="44"/>
      <c r="CSV79" s="44"/>
      <c r="CSW79" s="44"/>
      <c r="CSX79" s="44"/>
      <c r="CSY79" s="44"/>
      <c r="CSZ79" s="44"/>
      <c r="CTA79" s="44"/>
      <c r="CTB79" s="44"/>
      <c r="CTC79" s="44"/>
      <c r="CTD79" s="44"/>
      <c r="CTE79" s="44"/>
      <c r="CTF79" s="44"/>
      <c r="CTG79" s="44"/>
      <c r="CTH79" s="44"/>
      <c r="CTI79" s="44"/>
      <c r="CTJ79" s="44"/>
      <c r="CTK79" s="44"/>
      <c r="CTL79" s="44"/>
      <c r="CTM79" s="44"/>
      <c r="CTN79" s="44"/>
      <c r="CTO79" s="44"/>
      <c r="CTP79" s="44"/>
      <c r="CTQ79" s="44"/>
      <c r="CTR79" s="44"/>
      <c r="CTS79" s="44"/>
      <c r="CTT79" s="44"/>
      <c r="CTU79" s="44"/>
      <c r="CTV79" s="44"/>
      <c r="CTW79" s="44"/>
      <c r="CTX79" s="44"/>
      <c r="CTY79" s="44"/>
      <c r="CTZ79" s="44"/>
      <c r="CUA79" s="44"/>
      <c r="CUB79" s="44"/>
      <c r="CUC79" s="44"/>
      <c r="CUD79" s="44"/>
      <c r="CUE79" s="44"/>
      <c r="CUF79" s="44"/>
      <c r="CUG79" s="44"/>
      <c r="CUH79" s="44"/>
      <c r="CUI79" s="44"/>
      <c r="CUJ79" s="44"/>
      <c r="CUK79" s="44"/>
      <c r="CUL79" s="44"/>
      <c r="CUM79" s="44"/>
      <c r="CUN79" s="44"/>
      <c r="CUO79" s="44"/>
      <c r="CUP79" s="44"/>
      <c r="CUQ79" s="44"/>
      <c r="CUR79" s="44"/>
      <c r="CUS79" s="44"/>
      <c r="CUT79" s="44"/>
      <c r="CUU79" s="44"/>
      <c r="CUV79" s="44"/>
      <c r="CUW79" s="44"/>
      <c r="CUX79" s="44"/>
      <c r="CUY79" s="44"/>
      <c r="CUZ79" s="44"/>
      <c r="CVA79" s="44"/>
      <c r="CVB79" s="44"/>
      <c r="CVC79" s="44"/>
      <c r="CVD79" s="44"/>
      <c r="CVE79" s="44"/>
      <c r="CVF79" s="44"/>
      <c r="CVG79" s="44"/>
      <c r="CVH79" s="44"/>
      <c r="CVI79" s="44"/>
      <c r="CVJ79" s="44"/>
      <c r="CVK79" s="44"/>
      <c r="CVL79" s="44"/>
      <c r="CVM79" s="44"/>
      <c r="CVN79" s="44"/>
      <c r="CVO79" s="44"/>
      <c r="CVP79" s="44"/>
      <c r="CVQ79" s="44"/>
      <c r="CVR79" s="44"/>
      <c r="CVS79" s="44"/>
      <c r="CVT79" s="44"/>
      <c r="CVU79" s="44"/>
      <c r="CVV79" s="44"/>
      <c r="CVW79" s="44"/>
      <c r="CVX79" s="44"/>
      <c r="CVY79" s="44"/>
      <c r="CVZ79" s="44"/>
      <c r="CWA79" s="44"/>
      <c r="CWB79" s="44"/>
      <c r="CWC79" s="44"/>
      <c r="CWD79" s="44"/>
      <c r="CWE79" s="44"/>
      <c r="CWF79" s="44"/>
      <c r="CWG79" s="44"/>
      <c r="CWH79" s="44"/>
      <c r="CWI79" s="44"/>
      <c r="CWJ79" s="44"/>
      <c r="CWK79" s="44"/>
      <c r="CWL79" s="44"/>
      <c r="CWM79" s="44"/>
      <c r="CWN79" s="44"/>
      <c r="CWO79" s="44"/>
      <c r="CWP79" s="44"/>
      <c r="CWQ79" s="44"/>
      <c r="CWR79" s="44"/>
      <c r="CWS79" s="44"/>
      <c r="CWT79" s="44"/>
      <c r="CWU79" s="44"/>
      <c r="CWV79" s="44"/>
      <c r="CWW79" s="44"/>
      <c r="CWX79" s="44"/>
      <c r="CWY79" s="44"/>
      <c r="CWZ79" s="44"/>
      <c r="CXA79" s="44"/>
      <c r="CXB79" s="44"/>
      <c r="CXC79" s="44"/>
      <c r="CXD79" s="44"/>
      <c r="CXE79" s="44"/>
      <c r="CXF79" s="44"/>
      <c r="CXG79" s="44"/>
      <c r="CXH79" s="44"/>
      <c r="CXI79" s="44"/>
      <c r="CXJ79" s="44"/>
      <c r="CXK79" s="44"/>
      <c r="CXL79" s="44"/>
      <c r="CXM79" s="44"/>
      <c r="CXN79" s="44"/>
      <c r="CXO79" s="44"/>
      <c r="CXP79" s="44"/>
      <c r="CXQ79" s="44"/>
      <c r="CXR79" s="44"/>
      <c r="CXS79" s="44"/>
      <c r="CXT79" s="44"/>
      <c r="CXU79" s="44"/>
      <c r="CXV79" s="44"/>
      <c r="CXW79" s="44"/>
      <c r="CXX79" s="44"/>
      <c r="CXY79" s="44"/>
      <c r="CXZ79" s="44"/>
      <c r="CYA79" s="44"/>
      <c r="CYB79" s="44"/>
      <c r="CYC79" s="44"/>
      <c r="CYD79" s="44"/>
      <c r="CYE79" s="44"/>
      <c r="CYF79" s="44"/>
      <c r="CYG79" s="44"/>
      <c r="CYH79" s="44"/>
      <c r="CYI79" s="44"/>
      <c r="CYJ79" s="44"/>
      <c r="CYK79" s="44"/>
      <c r="CYL79" s="44"/>
      <c r="CYM79" s="44"/>
      <c r="CYN79" s="44"/>
      <c r="CYO79" s="44"/>
      <c r="CYP79" s="44"/>
      <c r="CYQ79" s="44"/>
      <c r="CYR79" s="44"/>
      <c r="CYS79" s="44"/>
      <c r="CYT79" s="44"/>
      <c r="CYU79" s="44"/>
      <c r="CYV79" s="44"/>
      <c r="CYW79" s="44"/>
      <c r="CYX79" s="44"/>
      <c r="CYY79" s="44"/>
      <c r="CYZ79" s="44"/>
      <c r="CZA79" s="44"/>
      <c r="CZB79" s="44"/>
      <c r="CZC79" s="44"/>
      <c r="CZD79" s="44"/>
      <c r="CZE79" s="44"/>
      <c r="CZF79" s="44"/>
      <c r="CZG79" s="44"/>
      <c r="CZH79" s="44"/>
      <c r="CZI79" s="44"/>
      <c r="CZJ79" s="44"/>
      <c r="CZK79" s="44"/>
      <c r="CZL79" s="44"/>
      <c r="CZM79" s="44"/>
      <c r="CZN79" s="44"/>
      <c r="CZO79" s="44"/>
      <c r="CZP79" s="44"/>
      <c r="CZQ79" s="44"/>
      <c r="CZR79" s="44"/>
      <c r="CZS79" s="44"/>
      <c r="CZT79" s="44"/>
      <c r="CZU79" s="44"/>
      <c r="CZV79" s="44"/>
      <c r="CZW79" s="44"/>
      <c r="CZX79" s="44"/>
      <c r="CZY79" s="44"/>
      <c r="CZZ79" s="44"/>
      <c r="DAA79" s="44"/>
      <c r="DAB79" s="44"/>
      <c r="DAC79" s="44"/>
      <c r="DAD79" s="44"/>
      <c r="DAE79" s="44"/>
      <c r="DAF79" s="44"/>
      <c r="DAG79" s="44"/>
      <c r="DAH79" s="44"/>
      <c r="DAI79" s="44"/>
      <c r="DAJ79" s="44"/>
      <c r="DAK79" s="44"/>
      <c r="DAL79" s="44"/>
      <c r="DAM79" s="44"/>
      <c r="DAN79" s="44"/>
      <c r="DAO79" s="44"/>
      <c r="DAP79" s="44"/>
      <c r="DAQ79" s="44"/>
      <c r="DAR79" s="44"/>
      <c r="DAS79" s="44"/>
      <c r="DAT79" s="44"/>
      <c r="DAU79" s="44"/>
      <c r="DAV79" s="44"/>
      <c r="DAW79" s="44"/>
      <c r="DAX79" s="44"/>
      <c r="DAY79" s="44"/>
      <c r="DAZ79" s="44"/>
      <c r="DBA79" s="44"/>
      <c r="DBB79" s="44"/>
      <c r="DBC79" s="44"/>
      <c r="DBD79" s="44"/>
      <c r="DBE79" s="44"/>
      <c r="DBF79" s="44"/>
      <c r="DBG79" s="44"/>
      <c r="DBH79" s="44"/>
      <c r="DBI79" s="44"/>
      <c r="DBJ79" s="44"/>
      <c r="DBK79" s="44"/>
      <c r="DBL79" s="44"/>
      <c r="DBM79" s="44"/>
      <c r="DBN79" s="44"/>
      <c r="DBO79" s="44"/>
      <c r="DBP79" s="44"/>
      <c r="DBQ79" s="44"/>
      <c r="DBR79" s="44"/>
      <c r="DBS79" s="44"/>
      <c r="DBT79" s="44"/>
      <c r="DBU79" s="44"/>
      <c r="DBV79" s="44"/>
      <c r="DBW79" s="44"/>
      <c r="DBX79" s="44"/>
      <c r="DBY79" s="44"/>
      <c r="DBZ79" s="44"/>
      <c r="DCA79" s="44"/>
      <c r="DCB79" s="44"/>
      <c r="DCC79" s="44"/>
      <c r="DCD79" s="44"/>
      <c r="DCE79" s="44"/>
      <c r="DCF79" s="44"/>
      <c r="DCG79" s="44"/>
      <c r="DCH79" s="44"/>
      <c r="DCI79" s="44"/>
      <c r="DCJ79" s="44"/>
      <c r="DCK79" s="44"/>
      <c r="DCL79" s="44"/>
      <c r="DCM79" s="44"/>
      <c r="DCN79" s="44"/>
      <c r="DCO79" s="44"/>
      <c r="DCP79" s="44"/>
      <c r="DCQ79" s="44"/>
      <c r="DCR79" s="44"/>
      <c r="DCS79" s="44"/>
      <c r="DCT79" s="44"/>
      <c r="DCU79" s="44"/>
      <c r="DCV79" s="44"/>
      <c r="DCW79" s="44"/>
      <c r="DCX79" s="44"/>
      <c r="DCY79" s="44"/>
      <c r="DCZ79" s="44"/>
      <c r="DDA79" s="44"/>
      <c r="DDB79" s="44"/>
      <c r="DDC79" s="44"/>
      <c r="DDD79" s="44"/>
      <c r="DDE79" s="44"/>
      <c r="DDF79" s="44"/>
      <c r="DDG79" s="44"/>
      <c r="DDH79" s="44"/>
      <c r="DDI79" s="44"/>
      <c r="DDJ79" s="44"/>
      <c r="DDK79" s="44"/>
      <c r="DDL79" s="44"/>
      <c r="DDM79" s="44"/>
      <c r="DDN79" s="44"/>
      <c r="DDO79" s="44"/>
      <c r="DDP79" s="44"/>
      <c r="DDQ79" s="44"/>
      <c r="DDR79" s="44"/>
      <c r="DDS79" s="44"/>
      <c r="DDT79" s="44"/>
      <c r="DDU79" s="44"/>
      <c r="DDV79" s="44"/>
      <c r="DDW79" s="44"/>
      <c r="DDX79" s="44"/>
      <c r="DDY79" s="44"/>
      <c r="DDZ79" s="44"/>
      <c r="DEA79" s="44"/>
      <c r="DEB79" s="44"/>
      <c r="DEC79" s="44"/>
      <c r="DED79" s="44"/>
      <c r="DEE79" s="44"/>
      <c r="DEF79" s="44"/>
      <c r="DEG79" s="44"/>
      <c r="DEH79" s="44"/>
      <c r="DEI79" s="44"/>
      <c r="DEJ79" s="44"/>
      <c r="DEK79" s="44"/>
      <c r="DEL79" s="44"/>
      <c r="DEM79" s="44"/>
      <c r="DEN79" s="44"/>
      <c r="DEO79" s="44"/>
      <c r="DEP79" s="44"/>
      <c r="DEQ79" s="44"/>
      <c r="DER79" s="44"/>
      <c r="DES79" s="44"/>
      <c r="DET79" s="44"/>
      <c r="DEU79" s="44"/>
      <c r="DEV79" s="44"/>
      <c r="DEW79" s="44"/>
      <c r="DEX79" s="44"/>
      <c r="DEY79" s="44"/>
      <c r="DEZ79" s="44"/>
      <c r="DFA79" s="44"/>
      <c r="DFB79" s="44"/>
      <c r="DFC79" s="44"/>
      <c r="DFD79" s="44"/>
      <c r="DFE79" s="44"/>
      <c r="DFF79" s="44"/>
      <c r="DFG79" s="44"/>
      <c r="DFH79" s="44"/>
      <c r="DFI79" s="44"/>
      <c r="DFJ79" s="44"/>
      <c r="DFK79" s="44"/>
      <c r="DFL79" s="44"/>
      <c r="DFM79" s="44"/>
      <c r="DFN79" s="44"/>
      <c r="DFO79" s="44"/>
      <c r="DFP79" s="44"/>
      <c r="DFQ79" s="44"/>
      <c r="DFR79" s="44"/>
      <c r="DFS79" s="44"/>
      <c r="DFT79" s="44"/>
      <c r="DFU79" s="44"/>
      <c r="DFV79" s="44"/>
      <c r="DFW79" s="44"/>
      <c r="DFX79" s="44"/>
      <c r="DFY79" s="44"/>
      <c r="DFZ79" s="44"/>
      <c r="DGA79" s="44"/>
      <c r="DGB79" s="44"/>
      <c r="DGC79" s="44"/>
      <c r="DGD79" s="44"/>
      <c r="DGE79" s="44"/>
      <c r="DGF79" s="44"/>
      <c r="DGG79" s="44"/>
      <c r="DGH79" s="44"/>
      <c r="DGI79" s="44"/>
      <c r="DGJ79" s="44"/>
      <c r="DGK79" s="44"/>
      <c r="DGL79" s="44"/>
      <c r="DGM79" s="44"/>
      <c r="DGN79" s="44"/>
      <c r="DGO79" s="44"/>
      <c r="DGP79" s="44"/>
      <c r="DGQ79" s="44"/>
      <c r="DGR79" s="44"/>
      <c r="DGS79" s="44"/>
      <c r="DGT79" s="44"/>
      <c r="DGU79" s="44"/>
      <c r="DGV79" s="44"/>
      <c r="DGW79" s="44"/>
      <c r="DGX79" s="44"/>
      <c r="DGY79" s="44"/>
      <c r="DGZ79" s="44"/>
      <c r="DHA79" s="44"/>
      <c r="DHB79" s="44"/>
      <c r="DHC79" s="44"/>
      <c r="DHD79" s="44"/>
      <c r="DHE79" s="44"/>
      <c r="DHF79" s="44"/>
      <c r="DHG79" s="44"/>
      <c r="DHH79" s="44"/>
      <c r="DHI79" s="44"/>
      <c r="DHJ79" s="44"/>
      <c r="DHK79" s="44"/>
      <c r="DHL79" s="44"/>
      <c r="DHM79" s="44"/>
      <c r="DHN79" s="44"/>
      <c r="DHO79" s="44"/>
      <c r="DHP79" s="44"/>
      <c r="DHQ79" s="44"/>
      <c r="DHR79" s="44"/>
      <c r="DHS79" s="44"/>
      <c r="DHT79" s="44"/>
      <c r="DHU79" s="44"/>
      <c r="DHV79" s="44"/>
      <c r="DHW79" s="44"/>
      <c r="DHX79" s="44"/>
      <c r="DHY79" s="44"/>
      <c r="DHZ79" s="44"/>
      <c r="DIA79" s="44"/>
      <c r="DIB79" s="44"/>
      <c r="DIC79" s="44"/>
      <c r="DID79" s="44"/>
      <c r="DIE79" s="44"/>
      <c r="DIF79" s="44"/>
      <c r="DIG79" s="44"/>
      <c r="DIH79" s="44"/>
      <c r="DII79" s="44"/>
      <c r="DIJ79" s="44"/>
      <c r="DIK79" s="44"/>
      <c r="DIL79" s="44"/>
      <c r="DIM79" s="44"/>
      <c r="DIN79" s="44"/>
      <c r="DIO79" s="44"/>
      <c r="DIP79" s="44"/>
      <c r="DIQ79" s="44"/>
      <c r="DIR79" s="44"/>
      <c r="DIS79" s="44"/>
      <c r="DIT79" s="44"/>
      <c r="DIU79" s="44"/>
      <c r="DIV79" s="44"/>
      <c r="DIW79" s="44"/>
      <c r="DIX79" s="44"/>
      <c r="DIY79" s="44"/>
      <c r="DIZ79" s="44"/>
      <c r="DJA79" s="44"/>
      <c r="DJB79" s="44"/>
      <c r="DJC79" s="44"/>
      <c r="DJD79" s="44"/>
      <c r="DJE79" s="44"/>
      <c r="DJF79" s="44"/>
      <c r="DJG79" s="44"/>
      <c r="DJH79" s="44"/>
      <c r="DJI79" s="44"/>
      <c r="DJJ79" s="44"/>
      <c r="DJK79" s="44"/>
      <c r="DJL79" s="44"/>
      <c r="DJM79" s="44"/>
      <c r="DJN79" s="44"/>
      <c r="DJO79" s="44"/>
      <c r="DJP79" s="44"/>
      <c r="DJQ79" s="44"/>
      <c r="DJR79" s="44"/>
      <c r="DJS79" s="44"/>
      <c r="DJT79" s="44"/>
      <c r="DJU79" s="44"/>
      <c r="DJV79" s="44"/>
      <c r="DJW79" s="44"/>
      <c r="DJX79" s="44"/>
      <c r="DJY79" s="44"/>
      <c r="DJZ79" s="44"/>
      <c r="DKA79" s="44"/>
      <c r="DKB79" s="44"/>
      <c r="DKC79" s="44"/>
      <c r="DKD79" s="44"/>
      <c r="DKE79" s="44"/>
      <c r="DKF79" s="44"/>
      <c r="DKG79" s="44"/>
      <c r="DKH79" s="44"/>
      <c r="DKI79" s="44"/>
      <c r="DKJ79" s="44"/>
      <c r="DKK79" s="44"/>
      <c r="DKL79" s="44"/>
      <c r="DKM79" s="44"/>
      <c r="DKN79" s="44"/>
      <c r="DKO79" s="44"/>
      <c r="DKP79" s="44"/>
      <c r="DKQ79" s="44"/>
      <c r="DKR79" s="44"/>
      <c r="DKS79" s="44"/>
      <c r="DKT79" s="44"/>
      <c r="DKU79" s="44"/>
      <c r="DKV79" s="44"/>
      <c r="DKW79" s="44"/>
      <c r="DKX79" s="44"/>
      <c r="DKY79" s="44"/>
      <c r="DKZ79" s="44"/>
      <c r="DLA79" s="44"/>
      <c r="DLB79" s="44"/>
      <c r="DLC79" s="44"/>
      <c r="DLD79" s="44"/>
      <c r="DLE79" s="44"/>
      <c r="DLF79" s="44"/>
      <c r="DLG79" s="44"/>
      <c r="DLH79" s="44"/>
      <c r="DLI79" s="44"/>
      <c r="DLJ79" s="44"/>
      <c r="DLK79" s="44"/>
      <c r="DLL79" s="44"/>
      <c r="DLM79" s="44"/>
      <c r="DLN79" s="44"/>
      <c r="DLO79" s="44"/>
      <c r="DLP79" s="44"/>
      <c r="DLQ79" s="44"/>
      <c r="DLR79" s="44"/>
      <c r="DLS79" s="44"/>
      <c r="DLT79" s="44"/>
      <c r="DLU79" s="44"/>
      <c r="DLV79" s="44"/>
      <c r="DLW79" s="44"/>
      <c r="DLX79" s="44"/>
      <c r="DLY79" s="44"/>
      <c r="DLZ79" s="44"/>
      <c r="DMA79" s="44"/>
      <c r="DMB79" s="44"/>
      <c r="DMC79" s="44"/>
      <c r="DMD79" s="44"/>
      <c r="DME79" s="44"/>
      <c r="DMF79" s="44"/>
      <c r="DMG79" s="44"/>
      <c r="DMH79" s="44"/>
      <c r="DMI79" s="44"/>
      <c r="DMJ79" s="44"/>
      <c r="DMK79" s="44"/>
      <c r="DML79" s="44"/>
      <c r="DMM79" s="44"/>
      <c r="DMN79" s="44"/>
      <c r="DMO79" s="44"/>
      <c r="DMP79" s="44"/>
      <c r="DMQ79" s="44"/>
      <c r="DMR79" s="44"/>
      <c r="DMS79" s="44"/>
      <c r="DMT79" s="44"/>
      <c r="DMU79" s="44"/>
      <c r="DMV79" s="44"/>
      <c r="DMW79" s="44"/>
      <c r="DMX79" s="44"/>
      <c r="DMY79" s="44"/>
      <c r="DMZ79" s="44"/>
      <c r="DNA79" s="44"/>
      <c r="DNB79" s="44"/>
      <c r="DNC79" s="44"/>
      <c r="DND79" s="44"/>
      <c r="DNE79" s="44"/>
      <c r="DNF79" s="44"/>
      <c r="DNG79" s="44"/>
      <c r="DNH79" s="44"/>
      <c r="DNI79" s="44"/>
      <c r="DNJ79" s="44"/>
      <c r="DNK79" s="44"/>
      <c r="DNL79" s="44"/>
      <c r="DNM79" s="44"/>
      <c r="DNN79" s="44"/>
      <c r="DNO79" s="44"/>
      <c r="DNP79" s="44"/>
      <c r="DNQ79" s="44"/>
      <c r="DNR79" s="44"/>
      <c r="DNS79" s="44"/>
      <c r="DNT79" s="44"/>
      <c r="DNU79" s="44"/>
      <c r="DNV79" s="44"/>
      <c r="DNW79" s="44"/>
      <c r="DNX79" s="44"/>
      <c r="DNY79" s="44"/>
      <c r="DNZ79" s="44"/>
      <c r="DOA79" s="44"/>
      <c r="DOB79" s="44"/>
      <c r="DOC79" s="44"/>
      <c r="DOD79" s="44"/>
      <c r="DOE79" s="44"/>
      <c r="DOF79" s="44"/>
      <c r="DOG79" s="44"/>
      <c r="DOH79" s="44"/>
      <c r="DOI79" s="44"/>
      <c r="DOJ79" s="44"/>
      <c r="DOK79" s="44"/>
      <c r="DOL79" s="44"/>
      <c r="DOM79" s="44"/>
      <c r="DON79" s="44"/>
      <c r="DOO79" s="44"/>
      <c r="DOP79" s="44"/>
      <c r="DOQ79" s="44"/>
      <c r="DOR79" s="44"/>
      <c r="DOS79" s="44"/>
      <c r="DOT79" s="44"/>
      <c r="DOU79" s="44"/>
      <c r="DOV79" s="44"/>
      <c r="DOW79" s="44"/>
      <c r="DOX79" s="44"/>
      <c r="DOY79" s="44"/>
      <c r="DOZ79" s="44"/>
      <c r="DPA79" s="44"/>
      <c r="DPB79" s="44"/>
      <c r="DPC79" s="44"/>
      <c r="DPD79" s="44"/>
      <c r="DPE79" s="44"/>
      <c r="DPF79" s="44"/>
      <c r="DPG79" s="44"/>
      <c r="DPH79" s="44"/>
      <c r="DPI79" s="44"/>
      <c r="DPJ79" s="44"/>
      <c r="DPK79" s="44"/>
      <c r="DPL79" s="44"/>
      <c r="DPM79" s="44"/>
      <c r="DPN79" s="44"/>
      <c r="DPO79" s="44"/>
      <c r="DPP79" s="44"/>
      <c r="DPQ79" s="44"/>
      <c r="DPR79" s="44"/>
      <c r="DPS79" s="44"/>
      <c r="DPT79" s="44"/>
      <c r="DPU79" s="44"/>
      <c r="DPV79" s="44"/>
      <c r="DPW79" s="44"/>
      <c r="DPX79" s="44"/>
      <c r="DPY79" s="44"/>
      <c r="DPZ79" s="44"/>
      <c r="DQA79" s="44"/>
      <c r="DQB79" s="44"/>
      <c r="DQC79" s="44"/>
      <c r="DQD79" s="44"/>
      <c r="DQE79" s="44"/>
      <c r="DQF79" s="44"/>
      <c r="DQG79" s="44"/>
      <c r="DQH79" s="44"/>
      <c r="DQI79" s="44"/>
      <c r="DQJ79" s="44"/>
      <c r="DQK79" s="44"/>
      <c r="DQL79" s="44"/>
      <c r="DQM79" s="44"/>
      <c r="DQN79" s="44"/>
      <c r="DQO79" s="44"/>
      <c r="DQP79" s="44"/>
      <c r="DQQ79" s="44"/>
      <c r="DQR79" s="44"/>
      <c r="DQS79" s="44"/>
      <c r="DQT79" s="44"/>
      <c r="DQU79" s="44"/>
      <c r="DQV79" s="44"/>
      <c r="DQW79" s="44"/>
      <c r="DQX79" s="44"/>
      <c r="DQY79" s="44"/>
      <c r="DQZ79" s="44"/>
      <c r="DRA79" s="44"/>
      <c r="DRB79" s="44"/>
      <c r="DRC79" s="44"/>
      <c r="DRD79" s="44"/>
      <c r="DRE79" s="44"/>
      <c r="DRF79" s="44"/>
      <c r="DRG79" s="44"/>
      <c r="DRH79" s="44"/>
      <c r="DRI79" s="44"/>
      <c r="DRJ79" s="44"/>
      <c r="DRK79" s="44"/>
      <c r="DRL79" s="44"/>
      <c r="DRM79" s="44"/>
      <c r="DRN79" s="44"/>
      <c r="DRO79" s="44"/>
      <c r="DRP79" s="44"/>
      <c r="DRQ79" s="44"/>
      <c r="DRR79" s="44"/>
      <c r="DRS79" s="44"/>
      <c r="DRT79" s="44"/>
      <c r="DRU79" s="44"/>
      <c r="DRV79" s="44"/>
      <c r="DRW79" s="44"/>
      <c r="DRX79" s="44"/>
      <c r="DRY79" s="44"/>
      <c r="DRZ79" s="44"/>
      <c r="DSA79" s="44"/>
      <c r="DSB79" s="44"/>
      <c r="DSC79" s="44"/>
      <c r="DSD79" s="44"/>
      <c r="DSE79" s="44"/>
      <c r="DSF79" s="44"/>
      <c r="DSG79" s="44"/>
      <c r="DSH79" s="44"/>
      <c r="DSI79" s="44"/>
      <c r="DSJ79" s="44"/>
      <c r="DSK79" s="44"/>
      <c r="DSL79" s="44"/>
      <c r="DSM79" s="44"/>
      <c r="DSN79" s="44"/>
      <c r="DSO79" s="44"/>
      <c r="DSP79" s="44"/>
      <c r="DSQ79" s="44"/>
      <c r="DSR79" s="44"/>
      <c r="DSS79" s="44"/>
      <c r="DST79" s="44"/>
      <c r="DSU79" s="44"/>
      <c r="DSV79" s="44"/>
      <c r="DSW79" s="44"/>
      <c r="DSX79" s="44"/>
      <c r="DSY79" s="44"/>
      <c r="DSZ79" s="44"/>
      <c r="DTA79" s="44"/>
      <c r="DTB79" s="44"/>
      <c r="DTC79" s="44"/>
      <c r="DTD79" s="44"/>
      <c r="DTE79" s="44"/>
      <c r="DTF79" s="44"/>
      <c r="DTG79" s="44"/>
      <c r="DTH79" s="44"/>
      <c r="DTI79" s="44"/>
      <c r="DTJ79" s="44"/>
      <c r="DTK79" s="44"/>
      <c r="DTL79" s="44"/>
      <c r="DTM79" s="44"/>
      <c r="DTN79" s="44"/>
      <c r="DTO79" s="44"/>
      <c r="DTP79" s="44"/>
      <c r="DTQ79" s="44"/>
      <c r="DTR79" s="44"/>
      <c r="DTS79" s="44"/>
      <c r="DTT79" s="44"/>
      <c r="DTU79" s="44"/>
      <c r="DTV79" s="44"/>
      <c r="DTW79" s="44"/>
      <c r="DTX79" s="44"/>
      <c r="DTY79" s="44"/>
      <c r="DTZ79" s="44"/>
      <c r="DUA79" s="44"/>
      <c r="DUB79" s="44"/>
      <c r="DUC79" s="44"/>
      <c r="DUD79" s="44"/>
      <c r="DUE79" s="44"/>
      <c r="DUF79" s="44"/>
      <c r="DUG79" s="44"/>
      <c r="DUH79" s="44"/>
      <c r="DUI79" s="44"/>
      <c r="DUJ79" s="44"/>
      <c r="DUK79" s="44"/>
      <c r="DUL79" s="44"/>
      <c r="DUM79" s="44"/>
      <c r="DUN79" s="44"/>
      <c r="DUO79" s="44"/>
      <c r="DUP79" s="44"/>
      <c r="DUQ79" s="44"/>
      <c r="DUR79" s="44"/>
      <c r="DUS79" s="44"/>
      <c r="DUT79" s="44"/>
      <c r="DUU79" s="44"/>
      <c r="DUV79" s="44"/>
      <c r="DUW79" s="44"/>
      <c r="DUX79" s="44"/>
      <c r="DUY79" s="44"/>
      <c r="DUZ79" s="44"/>
      <c r="DVA79" s="44"/>
      <c r="DVB79" s="44"/>
      <c r="DVC79" s="44"/>
      <c r="DVD79" s="44"/>
      <c r="DVE79" s="44"/>
      <c r="DVF79" s="44"/>
      <c r="DVG79" s="44"/>
      <c r="DVH79" s="44"/>
      <c r="DVI79" s="44"/>
      <c r="DVJ79" s="44"/>
      <c r="DVK79" s="44"/>
      <c r="DVL79" s="44"/>
      <c r="DVM79" s="44"/>
      <c r="DVN79" s="44"/>
      <c r="DVO79" s="44"/>
      <c r="DVP79" s="44"/>
      <c r="DVQ79" s="44"/>
      <c r="DVR79" s="44"/>
      <c r="DVS79" s="44"/>
      <c r="DVT79" s="44"/>
      <c r="DVU79" s="44"/>
      <c r="DVV79" s="44"/>
      <c r="DVW79" s="44"/>
      <c r="DVX79" s="44"/>
      <c r="DVY79" s="44"/>
      <c r="DVZ79" s="44"/>
      <c r="DWA79" s="44"/>
      <c r="DWB79" s="44"/>
      <c r="DWC79" s="44"/>
      <c r="DWD79" s="44"/>
      <c r="DWE79" s="44"/>
      <c r="DWF79" s="44"/>
      <c r="DWG79" s="44"/>
      <c r="DWH79" s="44"/>
      <c r="DWI79" s="44"/>
      <c r="DWJ79" s="44"/>
      <c r="DWK79" s="44"/>
      <c r="DWL79" s="44"/>
      <c r="DWM79" s="44"/>
      <c r="DWN79" s="44"/>
      <c r="DWO79" s="44"/>
      <c r="DWP79" s="44"/>
      <c r="DWQ79" s="44"/>
      <c r="DWR79" s="44"/>
      <c r="DWS79" s="44"/>
      <c r="DWT79" s="44"/>
      <c r="DWU79" s="44"/>
      <c r="DWV79" s="44"/>
      <c r="DWW79" s="44"/>
      <c r="DWX79" s="44"/>
      <c r="DWY79" s="44"/>
      <c r="DWZ79" s="44"/>
      <c r="DXA79" s="44"/>
      <c r="DXB79" s="44"/>
      <c r="DXC79" s="44"/>
      <c r="DXD79" s="44"/>
      <c r="DXE79" s="44"/>
      <c r="DXF79" s="44"/>
      <c r="DXG79" s="44"/>
      <c r="DXH79" s="44"/>
      <c r="DXI79" s="44"/>
      <c r="DXJ79" s="44"/>
      <c r="DXK79" s="44"/>
      <c r="DXL79" s="44"/>
      <c r="DXM79" s="44"/>
      <c r="DXN79" s="44"/>
      <c r="DXO79" s="44"/>
      <c r="DXP79" s="44"/>
      <c r="DXQ79" s="44"/>
      <c r="DXR79" s="44"/>
      <c r="DXS79" s="44"/>
      <c r="DXT79" s="44"/>
      <c r="DXU79" s="44"/>
      <c r="DXV79" s="44"/>
      <c r="DXW79" s="44"/>
      <c r="DXX79" s="44"/>
      <c r="DXY79" s="44"/>
      <c r="DXZ79" s="44"/>
      <c r="DYA79" s="44"/>
      <c r="DYB79" s="44"/>
      <c r="DYC79" s="44"/>
      <c r="DYD79" s="44"/>
      <c r="DYE79" s="44"/>
      <c r="DYF79" s="44"/>
      <c r="DYG79" s="44"/>
      <c r="DYH79" s="44"/>
      <c r="DYI79" s="44"/>
      <c r="DYJ79" s="44"/>
      <c r="DYK79" s="44"/>
      <c r="DYL79" s="44"/>
      <c r="DYM79" s="44"/>
      <c r="DYN79" s="44"/>
      <c r="DYO79" s="44"/>
      <c r="DYP79" s="44"/>
      <c r="DYQ79" s="44"/>
      <c r="DYR79" s="44"/>
      <c r="DYS79" s="44"/>
      <c r="DYT79" s="44"/>
      <c r="DYU79" s="44"/>
      <c r="DYV79" s="44"/>
      <c r="DYW79" s="44"/>
      <c r="DYX79" s="44"/>
      <c r="DYY79" s="44"/>
      <c r="DYZ79" s="44"/>
      <c r="DZA79" s="44"/>
      <c r="DZB79" s="44"/>
      <c r="DZC79" s="44"/>
      <c r="DZD79" s="44"/>
      <c r="DZE79" s="44"/>
      <c r="DZF79" s="44"/>
      <c r="DZG79" s="44"/>
      <c r="DZH79" s="44"/>
      <c r="DZI79" s="44"/>
      <c r="DZJ79" s="44"/>
      <c r="DZK79" s="44"/>
      <c r="DZL79" s="44"/>
      <c r="DZM79" s="44"/>
      <c r="DZN79" s="44"/>
      <c r="DZO79" s="44"/>
      <c r="DZP79" s="44"/>
      <c r="DZQ79" s="44"/>
      <c r="DZR79" s="44"/>
      <c r="DZS79" s="44"/>
      <c r="DZT79" s="44"/>
      <c r="DZU79" s="44"/>
      <c r="DZV79" s="44"/>
      <c r="DZW79" s="44"/>
      <c r="DZX79" s="44"/>
      <c r="DZY79" s="44"/>
      <c r="DZZ79" s="44"/>
      <c r="EAA79" s="44"/>
      <c r="EAB79" s="44"/>
      <c r="EAC79" s="44"/>
      <c r="EAD79" s="44"/>
      <c r="EAE79" s="44"/>
      <c r="EAF79" s="44"/>
      <c r="EAG79" s="44"/>
      <c r="EAH79" s="44"/>
      <c r="EAI79" s="44"/>
      <c r="EAJ79" s="44"/>
      <c r="EAK79" s="44"/>
      <c r="EAL79" s="44"/>
      <c r="EAM79" s="44"/>
      <c r="EAN79" s="44"/>
      <c r="EAO79" s="44"/>
      <c r="EAP79" s="44"/>
      <c r="EAQ79" s="44"/>
      <c r="EAR79" s="44"/>
      <c r="EAS79" s="44"/>
      <c r="EAT79" s="44"/>
      <c r="EAU79" s="44"/>
      <c r="EAV79" s="44"/>
      <c r="EAW79" s="44"/>
      <c r="EAX79" s="44"/>
      <c r="EAY79" s="44"/>
      <c r="EAZ79" s="44"/>
      <c r="EBA79" s="44"/>
      <c r="EBB79" s="44"/>
      <c r="EBC79" s="44"/>
      <c r="EBD79" s="44"/>
      <c r="EBE79" s="44"/>
      <c r="EBF79" s="44"/>
      <c r="EBG79" s="44"/>
      <c r="EBH79" s="44"/>
      <c r="EBI79" s="44"/>
      <c r="EBJ79" s="44"/>
      <c r="EBK79" s="44"/>
      <c r="EBL79" s="44"/>
      <c r="EBM79" s="44"/>
      <c r="EBN79" s="44"/>
      <c r="EBO79" s="44"/>
      <c r="EBP79" s="44"/>
      <c r="EBQ79" s="44"/>
      <c r="EBR79" s="44"/>
      <c r="EBS79" s="44"/>
      <c r="EBT79" s="44"/>
      <c r="EBU79" s="44"/>
      <c r="EBV79" s="44"/>
      <c r="EBW79" s="44"/>
      <c r="EBX79" s="44"/>
      <c r="EBY79" s="44"/>
      <c r="EBZ79" s="44"/>
      <c r="ECA79" s="44"/>
      <c r="ECB79" s="44"/>
      <c r="ECC79" s="44"/>
      <c r="ECD79" s="44"/>
      <c r="ECE79" s="44"/>
      <c r="ECF79" s="44"/>
      <c r="ECG79" s="44"/>
      <c r="ECH79" s="44"/>
      <c r="ECI79" s="44"/>
      <c r="ECJ79" s="44"/>
      <c r="ECK79" s="44"/>
      <c r="ECL79" s="44"/>
      <c r="ECM79" s="44"/>
      <c r="ECN79" s="44"/>
      <c r="ECO79" s="44"/>
      <c r="ECP79" s="44"/>
      <c r="ECQ79" s="44"/>
      <c r="ECR79" s="44"/>
      <c r="ECS79" s="44"/>
      <c r="ECT79" s="44"/>
      <c r="ECU79" s="44"/>
      <c r="ECV79" s="44"/>
      <c r="ECW79" s="44"/>
      <c r="ECX79" s="44"/>
      <c r="ECY79" s="44"/>
      <c r="ECZ79" s="44"/>
      <c r="EDA79" s="44"/>
      <c r="EDB79" s="44"/>
      <c r="EDC79" s="44"/>
      <c r="EDD79" s="44"/>
      <c r="EDE79" s="44"/>
      <c r="EDF79" s="44"/>
      <c r="EDG79" s="44"/>
      <c r="EDH79" s="44"/>
      <c r="EDI79" s="44"/>
      <c r="EDJ79" s="44"/>
      <c r="EDK79" s="44"/>
      <c r="EDL79" s="44"/>
      <c r="EDM79" s="44"/>
      <c r="EDN79" s="44"/>
      <c r="EDO79" s="44"/>
      <c r="EDP79" s="44"/>
      <c r="EDQ79" s="44"/>
      <c r="EDR79" s="44"/>
      <c r="EDS79" s="44"/>
      <c r="EDT79" s="44"/>
      <c r="EDU79" s="44"/>
      <c r="EDV79" s="44"/>
      <c r="EDW79" s="44"/>
      <c r="EDX79" s="44"/>
      <c r="EDY79" s="44"/>
      <c r="EDZ79" s="44"/>
      <c r="EEA79" s="44"/>
      <c r="EEB79" s="44"/>
      <c r="EEC79" s="44"/>
      <c r="EED79" s="44"/>
      <c r="EEE79" s="44"/>
      <c r="EEF79" s="44"/>
      <c r="EEG79" s="44"/>
      <c r="EEH79" s="44"/>
      <c r="EEI79" s="44"/>
      <c r="EEJ79" s="44"/>
      <c r="EEK79" s="44"/>
      <c r="EEL79" s="44"/>
      <c r="EEM79" s="44"/>
      <c r="EEN79" s="44"/>
      <c r="EEO79" s="44"/>
      <c r="EEP79" s="44"/>
      <c r="EEQ79" s="44"/>
      <c r="EER79" s="44"/>
      <c r="EES79" s="44"/>
      <c r="EET79" s="44"/>
      <c r="EEU79" s="44"/>
      <c r="EEV79" s="44"/>
      <c r="EEW79" s="44"/>
      <c r="EEX79" s="44"/>
      <c r="EEY79" s="44"/>
      <c r="EEZ79" s="44"/>
      <c r="EFA79" s="44"/>
      <c r="EFB79" s="44"/>
      <c r="EFC79" s="44"/>
      <c r="EFD79" s="44"/>
      <c r="EFE79" s="44"/>
      <c r="EFF79" s="44"/>
      <c r="EFG79" s="44"/>
      <c r="EFH79" s="44"/>
      <c r="EFI79" s="44"/>
      <c r="EFJ79" s="44"/>
      <c r="EFK79" s="44"/>
      <c r="EFL79" s="44"/>
      <c r="EFM79" s="44"/>
      <c r="EFN79" s="44"/>
      <c r="EFO79" s="44"/>
      <c r="EFP79" s="44"/>
      <c r="EFQ79" s="44"/>
      <c r="EFR79" s="44"/>
      <c r="EFS79" s="44"/>
      <c r="EFT79" s="44"/>
      <c r="EFU79" s="44"/>
      <c r="EFV79" s="44"/>
      <c r="EFW79" s="44"/>
      <c r="EFX79" s="44"/>
      <c r="EFY79" s="44"/>
      <c r="EFZ79" s="44"/>
      <c r="EGA79" s="44"/>
      <c r="EGB79" s="44"/>
      <c r="EGC79" s="44"/>
      <c r="EGD79" s="44"/>
      <c r="EGE79" s="44"/>
      <c r="EGF79" s="44"/>
      <c r="EGG79" s="44"/>
      <c r="EGH79" s="44"/>
      <c r="EGI79" s="44"/>
      <c r="EGJ79" s="44"/>
      <c r="EGK79" s="44"/>
      <c r="EGL79" s="44"/>
      <c r="EGM79" s="44"/>
      <c r="EGN79" s="44"/>
      <c r="EGO79" s="44"/>
      <c r="EGP79" s="44"/>
      <c r="EGQ79" s="44"/>
      <c r="EGR79" s="44"/>
      <c r="EGS79" s="44"/>
      <c r="EGT79" s="44"/>
      <c r="EGU79" s="44"/>
      <c r="EGV79" s="44"/>
      <c r="EGW79" s="44"/>
      <c r="EGX79" s="44"/>
      <c r="EGY79" s="44"/>
      <c r="EGZ79" s="44"/>
      <c r="EHA79" s="44"/>
      <c r="EHB79" s="44"/>
      <c r="EHC79" s="44"/>
      <c r="EHD79" s="44"/>
      <c r="EHE79" s="44"/>
      <c r="EHF79" s="44"/>
      <c r="EHG79" s="44"/>
      <c r="EHH79" s="44"/>
      <c r="EHI79" s="44"/>
      <c r="EHJ79" s="44"/>
      <c r="EHK79" s="44"/>
      <c r="EHL79" s="44"/>
      <c r="EHM79" s="44"/>
      <c r="EHN79" s="44"/>
      <c r="EHO79" s="44"/>
      <c r="EHP79" s="44"/>
      <c r="EHQ79" s="44"/>
      <c r="EHR79" s="44"/>
      <c r="EHS79" s="44"/>
      <c r="EHT79" s="44"/>
      <c r="EHU79" s="44"/>
      <c r="EHV79" s="44"/>
      <c r="EHW79" s="44"/>
      <c r="EHX79" s="44"/>
      <c r="EHY79" s="44"/>
      <c r="EHZ79" s="44"/>
      <c r="EIA79" s="44"/>
      <c r="EIB79" s="44"/>
      <c r="EIC79" s="44"/>
      <c r="EID79" s="44"/>
      <c r="EIE79" s="44"/>
      <c r="EIF79" s="44"/>
      <c r="EIG79" s="44"/>
      <c r="EIH79" s="44"/>
      <c r="EII79" s="44"/>
      <c r="EIJ79" s="44"/>
      <c r="EIK79" s="44"/>
      <c r="EIL79" s="44"/>
      <c r="EIM79" s="44"/>
      <c r="EIN79" s="44"/>
      <c r="EIO79" s="44"/>
      <c r="EIP79" s="44"/>
      <c r="EIQ79" s="44"/>
      <c r="EIR79" s="44"/>
      <c r="EIS79" s="44"/>
      <c r="EIT79" s="44"/>
      <c r="EIU79" s="44"/>
      <c r="EIV79" s="44"/>
      <c r="EIW79" s="44"/>
      <c r="EIX79" s="44"/>
      <c r="EIY79" s="44"/>
      <c r="EIZ79" s="44"/>
      <c r="EJA79" s="44"/>
      <c r="EJB79" s="44"/>
      <c r="EJC79" s="44"/>
      <c r="EJD79" s="44"/>
      <c r="EJE79" s="44"/>
      <c r="EJF79" s="44"/>
      <c r="EJG79" s="44"/>
      <c r="EJH79" s="44"/>
      <c r="EJI79" s="44"/>
      <c r="EJJ79" s="44"/>
      <c r="EJK79" s="44"/>
      <c r="EJL79" s="44"/>
      <c r="EJM79" s="44"/>
      <c r="EJN79" s="44"/>
      <c r="EJO79" s="44"/>
      <c r="EJP79" s="44"/>
      <c r="EJQ79" s="44"/>
      <c r="EJR79" s="44"/>
      <c r="EJS79" s="44"/>
      <c r="EJT79" s="44"/>
      <c r="EJU79" s="44"/>
      <c r="EJV79" s="44"/>
      <c r="EJW79" s="44"/>
      <c r="EJX79" s="44"/>
      <c r="EJY79" s="44"/>
      <c r="EJZ79" s="44"/>
      <c r="EKA79" s="44"/>
      <c r="EKB79" s="44"/>
      <c r="EKC79" s="44"/>
      <c r="EKD79" s="44"/>
      <c r="EKE79" s="44"/>
      <c r="EKF79" s="44"/>
      <c r="EKG79" s="44"/>
      <c r="EKH79" s="44"/>
      <c r="EKI79" s="44"/>
      <c r="EKJ79" s="44"/>
      <c r="EKK79" s="44"/>
      <c r="EKL79" s="44"/>
      <c r="EKM79" s="44"/>
      <c r="EKN79" s="44"/>
      <c r="EKO79" s="44"/>
      <c r="EKP79" s="44"/>
      <c r="EKQ79" s="44"/>
      <c r="EKR79" s="44"/>
      <c r="EKS79" s="44"/>
      <c r="EKT79" s="44"/>
      <c r="EKU79" s="44"/>
      <c r="EKV79" s="44"/>
      <c r="EKW79" s="44"/>
      <c r="EKX79" s="44"/>
      <c r="EKY79" s="44"/>
      <c r="EKZ79" s="44"/>
      <c r="ELA79" s="44"/>
      <c r="ELB79" s="44"/>
      <c r="ELC79" s="44"/>
      <c r="ELD79" s="44"/>
      <c r="ELE79" s="44"/>
      <c r="ELF79" s="44"/>
      <c r="ELG79" s="44"/>
      <c r="ELH79" s="44"/>
      <c r="ELI79" s="44"/>
      <c r="ELJ79" s="44"/>
      <c r="ELK79" s="44"/>
      <c r="ELL79" s="44"/>
      <c r="ELM79" s="44"/>
      <c r="ELN79" s="44"/>
      <c r="ELO79" s="44"/>
      <c r="ELP79" s="44"/>
      <c r="ELQ79" s="44"/>
      <c r="ELR79" s="44"/>
      <c r="ELS79" s="44"/>
      <c r="ELT79" s="44"/>
      <c r="ELU79" s="44"/>
      <c r="ELV79" s="44"/>
      <c r="ELW79" s="44"/>
      <c r="ELX79" s="44"/>
      <c r="ELY79" s="44"/>
      <c r="ELZ79" s="44"/>
      <c r="EMA79" s="44"/>
      <c r="EMB79" s="44"/>
      <c r="EMC79" s="44"/>
      <c r="EMD79" s="44"/>
      <c r="EME79" s="44"/>
      <c r="EMF79" s="44"/>
      <c r="EMG79" s="44"/>
      <c r="EMH79" s="44"/>
      <c r="EMI79" s="44"/>
      <c r="EMJ79" s="44"/>
      <c r="EMK79" s="44"/>
      <c r="EML79" s="44"/>
      <c r="EMM79" s="44"/>
      <c r="EMN79" s="44"/>
      <c r="EMO79" s="44"/>
      <c r="EMP79" s="44"/>
      <c r="EMQ79" s="44"/>
      <c r="EMR79" s="44"/>
      <c r="EMS79" s="44"/>
      <c r="EMT79" s="44"/>
      <c r="EMU79" s="44"/>
      <c r="EMV79" s="44"/>
      <c r="EMW79" s="44"/>
      <c r="EMX79" s="44"/>
      <c r="EMY79" s="44"/>
      <c r="EMZ79" s="44"/>
      <c r="ENA79" s="44"/>
      <c r="ENB79" s="44"/>
      <c r="ENC79" s="44"/>
      <c r="END79" s="44"/>
      <c r="ENE79" s="44"/>
      <c r="ENF79" s="44"/>
      <c r="ENG79" s="44"/>
      <c r="ENH79" s="44"/>
      <c r="ENI79" s="44"/>
      <c r="ENJ79" s="44"/>
      <c r="ENK79" s="44"/>
      <c r="ENL79" s="44"/>
      <c r="ENM79" s="44"/>
      <c r="ENN79" s="44"/>
      <c r="ENO79" s="44"/>
      <c r="ENP79" s="44"/>
      <c r="ENQ79" s="44"/>
      <c r="ENR79" s="44"/>
      <c r="ENS79" s="44"/>
      <c r="ENT79" s="44"/>
      <c r="ENU79" s="44"/>
      <c r="ENV79" s="44"/>
      <c r="ENW79" s="44"/>
      <c r="ENX79" s="44"/>
      <c r="ENY79" s="44"/>
      <c r="ENZ79" s="44"/>
      <c r="EOA79" s="44"/>
      <c r="EOB79" s="44"/>
      <c r="EOC79" s="44"/>
      <c r="EOD79" s="44"/>
      <c r="EOE79" s="44"/>
      <c r="EOF79" s="44"/>
      <c r="EOG79" s="44"/>
      <c r="EOH79" s="44"/>
      <c r="EOI79" s="44"/>
      <c r="EOJ79" s="44"/>
      <c r="EOK79" s="44"/>
      <c r="EOL79" s="44"/>
      <c r="EOM79" s="44"/>
      <c r="EON79" s="44"/>
      <c r="EOO79" s="44"/>
      <c r="EOP79" s="44"/>
      <c r="EOQ79" s="44"/>
      <c r="EOR79" s="44"/>
      <c r="EOS79" s="44"/>
      <c r="EOT79" s="44"/>
      <c r="EOU79" s="44"/>
      <c r="EOV79" s="44"/>
      <c r="EOW79" s="44"/>
      <c r="EOX79" s="44"/>
      <c r="EOY79" s="44"/>
      <c r="EOZ79" s="44"/>
      <c r="EPA79" s="44"/>
      <c r="EPB79" s="44"/>
      <c r="EPC79" s="44"/>
      <c r="EPD79" s="44"/>
      <c r="EPE79" s="44"/>
      <c r="EPF79" s="44"/>
      <c r="EPG79" s="44"/>
      <c r="EPH79" s="44"/>
      <c r="EPI79" s="44"/>
      <c r="EPJ79" s="44"/>
      <c r="EPK79" s="44"/>
      <c r="EPL79" s="44"/>
      <c r="EPM79" s="44"/>
      <c r="EPN79" s="44"/>
      <c r="EPO79" s="44"/>
      <c r="EPP79" s="44"/>
      <c r="EPQ79" s="44"/>
      <c r="EPR79" s="44"/>
      <c r="EPS79" s="44"/>
      <c r="EPT79" s="44"/>
      <c r="EPU79" s="44"/>
      <c r="EPV79" s="44"/>
      <c r="EPW79" s="44"/>
      <c r="EPX79" s="44"/>
      <c r="EPY79" s="44"/>
      <c r="EPZ79" s="44"/>
      <c r="EQA79" s="44"/>
      <c r="EQB79" s="44"/>
      <c r="EQC79" s="44"/>
      <c r="EQD79" s="44"/>
      <c r="EQE79" s="44"/>
      <c r="EQF79" s="44"/>
      <c r="EQG79" s="44"/>
      <c r="EQH79" s="44"/>
      <c r="EQI79" s="44"/>
      <c r="EQJ79" s="44"/>
      <c r="EQK79" s="44"/>
      <c r="EQL79" s="44"/>
      <c r="EQM79" s="44"/>
      <c r="EQN79" s="44"/>
      <c r="EQO79" s="44"/>
      <c r="EQP79" s="44"/>
      <c r="EQQ79" s="44"/>
      <c r="EQR79" s="44"/>
      <c r="EQS79" s="44"/>
      <c r="EQT79" s="44"/>
      <c r="EQU79" s="44"/>
      <c r="EQV79" s="44"/>
      <c r="EQW79" s="44"/>
      <c r="EQX79" s="44"/>
      <c r="EQY79" s="44"/>
      <c r="EQZ79" s="44"/>
      <c r="ERA79" s="44"/>
      <c r="ERB79" s="44"/>
      <c r="ERC79" s="44"/>
      <c r="ERD79" s="44"/>
      <c r="ERE79" s="44"/>
      <c r="ERF79" s="44"/>
      <c r="ERG79" s="44"/>
      <c r="ERH79" s="44"/>
      <c r="ERI79" s="44"/>
      <c r="ERJ79" s="44"/>
      <c r="ERK79" s="44"/>
      <c r="ERL79" s="44"/>
      <c r="ERM79" s="44"/>
      <c r="ERN79" s="44"/>
      <c r="ERO79" s="44"/>
      <c r="ERP79" s="44"/>
      <c r="ERQ79" s="44"/>
      <c r="ERR79" s="44"/>
      <c r="ERS79" s="44"/>
      <c r="ERT79" s="44"/>
      <c r="ERU79" s="44"/>
      <c r="ERV79" s="44"/>
      <c r="ERW79" s="44"/>
      <c r="ERX79" s="44"/>
      <c r="ERY79" s="44"/>
      <c r="ERZ79" s="44"/>
      <c r="ESA79" s="44"/>
      <c r="ESB79" s="44"/>
      <c r="ESC79" s="44"/>
      <c r="ESD79" s="44"/>
      <c r="ESE79" s="44"/>
      <c r="ESF79" s="44"/>
      <c r="ESG79" s="44"/>
      <c r="ESH79" s="44"/>
      <c r="ESI79" s="44"/>
      <c r="ESJ79" s="44"/>
      <c r="ESK79" s="44"/>
      <c r="ESL79" s="44"/>
      <c r="ESM79" s="44"/>
      <c r="ESN79" s="44"/>
      <c r="ESO79" s="44"/>
      <c r="ESP79" s="44"/>
      <c r="ESQ79" s="44"/>
      <c r="ESR79" s="44"/>
      <c r="ESS79" s="44"/>
      <c r="EST79" s="44"/>
      <c r="ESU79" s="44"/>
      <c r="ESV79" s="44"/>
      <c r="ESW79" s="44"/>
      <c r="ESX79" s="44"/>
      <c r="ESY79" s="44"/>
      <c r="ESZ79" s="44"/>
      <c r="ETA79" s="44"/>
      <c r="ETB79" s="44"/>
      <c r="ETC79" s="44"/>
      <c r="ETD79" s="44"/>
      <c r="ETE79" s="44"/>
      <c r="ETF79" s="44"/>
      <c r="ETG79" s="44"/>
      <c r="ETH79" s="44"/>
      <c r="ETI79" s="44"/>
      <c r="ETJ79" s="44"/>
      <c r="ETK79" s="44"/>
      <c r="ETL79" s="44"/>
      <c r="ETM79" s="44"/>
      <c r="ETN79" s="44"/>
      <c r="ETO79" s="44"/>
      <c r="ETP79" s="44"/>
      <c r="ETQ79" s="44"/>
      <c r="ETR79" s="44"/>
      <c r="ETS79" s="44"/>
      <c r="ETT79" s="44"/>
      <c r="ETU79" s="44"/>
      <c r="ETV79" s="44"/>
      <c r="ETW79" s="44"/>
      <c r="ETX79" s="44"/>
      <c r="ETY79" s="44"/>
      <c r="ETZ79" s="44"/>
      <c r="EUA79" s="44"/>
      <c r="EUB79" s="44"/>
      <c r="EUC79" s="44"/>
      <c r="EUD79" s="44"/>
      <c r="EUE79" s="44"/>
      <c r="EUF79" s="44"/>
      <c r="EUG79" s="44"/>
      <c r="EUH79" s="44"/>
      <c r="EUI79" s="44"/>
      <c r="EUJ79" s="44"/>
      <c r="EUK79" s="44"/>
      <c r="EUL79" s="44"/>
      <c r="EUM79" s="44"/>
      <c r="EUN79" s="44"/>
      <c r="EUO79" s="44"/>
      <c r="EUP79" s="44"/>
      <c r="EUQ79" s="44"/>
      <c r="EUR79" s="44"/>
      <c r="EUS79" s="44"/>
      <c r="EUT79" s="44"/>
      <c r="EUU79" s="44"/>
      <c r="EUV79" s="44"/>
      <c r="EUW79" s="44"/>
      <c r="EUX79" s="44"/>
      <c r="EUY79" s="44"/>
      <c r="EUZ79" s="44"/>
      <c r="EVA79" s="44"/>
      <c r="EVB79" s="44"/>
      <c r="EVC79" s="44"/>
      <c r="EVD79" s="44"/>
      <c r="EVE79" s="44"/>
      <c r="EVF79" s="44"/>
      <c r="EVG79" s="44"/>
      <c r="EVH79" s="44"/>
      <c r="EVI79" s="44"/>
      <c r="EVJ79" s="44"/>
      <c r="EVK79" s="44"/>
      <c r="EVL79" s="44"/>
      <c r="EVM79" s="44"/>
      <c r="EVN79" s="44"/>
      <c r="EVO79" s="44"/>
      <c r="EVP79" s="44"/>
      <c r="EVQ79" s="44"/>
      <c r="EVR79" s="44"/>
      <c r="EVS79" s="44"/>
      <c r="EVT79" s="44"/>
      <c r="EVU79" s="44"/>
      <c r="EVV79" s="44"/>
      <c r="EVW79" s="44"/>
      <c r="EVX79" s="44"/>
      <c r="EVY79" s="44"/>
      <c r="EVZ79" s="44"/>
      <c r="EWA79" s="44"/>
      <c r="EWB79" s="44"/>
      <c r="EWC79" s="44"/>
      <c r="EWD79" s="44"/>
      <c r="EWE79" s="44"/>
      <c r="EWF79" s="44"/>
      <c r="EWG79" s="44"/>
      <c r="EWH79" s="44"/>
      <c r="EWI79" s="44"/>
      <c r="EWJ79" s="44"/>
      <c r="EWK79" s="44"/>
      <c r="EWL79" s="44"/>
      <c r="EWM79" s="44"/>
      <c r="EWN79" s="44"/>
      <c r="EWO79" s="44"/>
      <c r="EWP79" s="44"/>
      <c r="EWQ79" s="44"/>
      <c r="EWR79" s="44"/>
      <c r="EWS79" s="44"/>
      <c r="EWT79" s="44"/>
      <c r="EWU79" s="44"/>
      <c r="EWV79" s="44"/>
      <c r="EWW79" s="44"/>
      <c r="EWX79" s="44"/>
      <c r="EWY79" s="44"/>
      <c r="EWZ79" s="44"/>
      <c r="EXA79" s="44"/>
      <c r="EXB79" s="44"/>
      <c r="EXC79" s="44"/>
      <c r="EXD79" s="44"/>
      <c r="EXE79" s="44"/>
      <c r="EXF79" s="44"/>
      <c r="EXG79" s="44"/>
      <c r="EXH79" s="44"/>
      <c r="EXI79" s="44"/>
      <c r="EXJ79" s="44"/>
      <c r="EXK79" s="44"/>
      <c r="EXL79" s="44"/>
      <c r="EXM79" s="44"/>
      <c r="EXN79" s="44"/>
      <c r="EXO79" s="44"/>
      <c r="EXP79" s="44"/>
      <c r="EXQ79" s="44"/>
      <c r="EXR79" s="44"/>
      <c r="EXS79" s="44"/>
      <c r="EXT79" s="44"/>
      <c r="EXU79" s="44"/>
      <c r="EXV79" s="44"/>
      <c r="EXW79" s="44"/>
      <c r="EXX79" s="44"/>
      <c r="EXY79" s="44"/>
      <c r="EXZ79" s="44"/>
      <c r="EYA79" s="44"/>
      <c r="EYB79" s="44"/>
      <c r="EYC79" s="44"/>
      <c r="EYD79" s="44"/>
      <c r="EYE79" s="44"/>
      <c r="EYF79" s="44"/>
      <c r="EYG79" s="44"/>
      <c r="EYH79" s="44"/>
      <c r="EYI79" s="44"/>
      <c r="EYJ79" s="44"/>
      <c r="EYK79" s="44"/>
      <c r="EYL79" s="44"/>
      <c r="EYM79" s="44"/>
      <c r="EYN79" s="44"/>
      <c r="EYO79" s="44"/>
      <c r="EYP79" s="44"/>
      <c r="EYQ79" s="44"/>
      <c r="EYR79" s="44"/>
      <c r="EYS79" s="44"/>
      <c r="EYT79" s="44"/>
      <c r="EYU79" s="44"/>
      <c r="EYV79" s="44"/>
      <c r="EYW79" s="44"/>
      <c r="EYX79" s="44"/>
      <c r="EYY79" s="44"/>
      <c r="EYZ79" s="44"/>
      <c r="EZA79" s="44"/>
      <c r="EZB79" s="44"/>
      <c r="EZC79" s="44"/>
      <c r="EZD79" s="44"/>
      <c r="EZE79" s="44"/>
      <c r="EZF79" s="44"/>
      <c r="EZG79" s="44"/>
      <c r="EZH79" s="44"/>
      <c r="EZI79" s="44"/>
      <c r="EZJ79" s="44"/>
      <c r="EZK79" s="44"/>
      <c r="EZL79" s="44"/>
      <c r="EZM79" s="44"/>
      <c r="EZN79" s="44"/>
      <c r="EZO79" s="44"/>
      <c r="EZP79" s="44"/>
      <c r="EZQ79" s="44"/>
      <c r="EZR79" s="44"/>
      <c r="EZS79" s="44"/>
      <c r="EZT79" s="44"/>
      <c r="EZU79" s="44"/>
      <c r="EZV79" s="44"/>
      <c r="EZW79" s="44"/>
      <c r="EZX79" s="44"/>
      <c r="EZY79" s="44"/>
      <c r="EZZ79" s="44"/>
      <c r="FAA79" s="44"/>
      <c r="FAB79" s="44"/>
      <c r="FAC79" s="44"/>
      <c r="FAD79" s="44"/>
      <c r="FAE79" s="44"/>
      <c r="FAF79" s="44"/>
      <c r="FAG79" s="44"/>
      <c r="FAH79" s="44"/>
      <c r="FAI79" s="44"/>
      <c r="FAJ79" s="44"/>
      <c r="FAK79" s="44"/>
      <c r="FAL79" s="44"/>
      <c r="FAM79" s="44"/>
      <c r="FAN79" s="44"/>
      <c r="FAO79" s="44"/>
      <c r="FAP79" s="44"/>
      <c r="FAQ79" s="44"/>
      <c r="FAR79" s="44"/>
      <c r="FAS79" s="44"/>
      <c r="FAT79" s="44"/>
      <c r="FAU79" s="44"/>
      <c r="FAV79" s="44"/>
      <c r="FAW79" s="44"/>
      <c r="FAX79" s="44"/>
      <c r="FAY79" s="44"/>
      <c r="FAZ79" s="44"/>
      <c r="FBA79" s="44"/>
      <c r="FBB79" s="44"/>
      <c r="FBC79" s="44"/>
      <c r="FBD79" s="44"/>
      <c r="FBE79" s="44"/>
      <c r="FBF79" s="44"/>
      <c r="FBG79" s="44"/>
      <c r="FBH79" s="44"/>
      <c r="FBI79" s="44"/>
      <c r="FBJ79" s="44"/>
      <c r="FBK79" s="44"/>
      <c r="FBL79" s="44"/>
      <c r="FBM79" s="44"/>
      <c r="FBN79" s="44"/>
      <c r="FBO79" s="44"/>
      <c r="FBP79" s="44"/>
      <c r="FBQ79" s="44"/>
      <c r="FBR79" s="44"/>
      <c r="FBS79" s="44"/>
      <c r="FBT79" s="44"/>
      <c r="FBU79" s="44"/>
      <c r="FBV79" s="44"/>
      <c r="FBW79" s="44"/>
      <c r="FBX79" s="44"/>
      <c r="FBY79" s="44"/>
      <c r="FBZ79" s="44"/>
      <c r="FCA79" s="44"/>
      <c r="FCB79" s="44"/>
      <c r="FCC79" s="44"/>
      <c r="FCD79" s="44"/>
      <c r="FCE79" s="44"/>
      <c r="FCF79" s="44"/>
      <c r="FCG79" s="44"/>
      <c r="FCH79" s="44"/>
      <c r="FCI79" s="44"/>
      <c r="FCJ79" s="44"/>
      <c r="FCK79" s="44"/>
      <c r="FCL79" s="44"/>
      <c r="FCM79" s="44"/>
      <c r="FCN79" s="44"/>
      <c r="FCO79" s="44"/>
      <c r="FCP79" s="44"/>
      <c r="FCQ79" s="44"/>
      <c r="FCR79" s="44"/>
      <c r="FCS79" s="44"/>
      <c r="FCT79" s="44"/>
      <c r="FCU79" s="44"/>
      <c r="FCV79" s="44"/>
      <c r="FCW79" s="44"/>
      <c r="FCX79" s="44"/>
      <c r="FCY79" s="44"/>
      <c r="FCZ79" s="44"/>
      <c r="FDA79" s="44"/>
      <c r="FDB79" s="44"/>
      <c r="FDC79" s="44"/>
      <c r="FDD79" s="44"/>
      <c r="FDE79" s="44"/>
      <c r="FDF79" s="44"/>
      <c r="FDG79" s="44"/>
      <c r="FDH79" s="44"/>
      <c r="FDI79" s="44"/>
      <c r="FDJ79" s="44"/>
      <c r="FDK79" s="44"/>
      <c r="FDL79" s="44"/>
      <c r="FDM79" s="44"/>
      <c r="FDN79" s="44"/>
      <c r="FDO79" s="44"/>
      <c r="FDP79" s="44"/>
      <c r="FDQ79" s="44"/>
      <c r="FDR79" s="44"/>
      <c r="FDS79" s="44"/>
      <c r="FDT79" s="44"/>
      <c r="FDU79" s="44"/>
      <c r="FDV79" s="44"/>
      <c r="FDW79" s="44"/>
      <c r="FDX79" s="44"/>
      <c r="FDY79" s="44"/>
      <c r="FDZ79" s="44"/>
      <c r="FEA79" s="44"/>
      <c r="FEB79" s="44"/>
      <c r="FEC79" s="44"/>
      <c r="FED79" s="44"/>
      <c r="FEE79" s="44"/>
      <c r="FEF79" s="44"/>
      <c r="FEG79" s="44"/>
      <c r="FEH79" s="44"/>
      <c r="FEI79" s="44"/>
      <c r="FEJ79" s="44"/>
      <c r="FEK79" s="44"/>
      <c r="FEL79" s="44"/>
      <c r="FEM79" s="44"/>
      <c r="FEN79" s="44"/>
      <c r="FEO79" s="44"/>
      <c r="FEP79" s="44"/>
      <c r="FEQ79" s="44"/>
      <c r="FER79" s="44"/>
      <c r="FES79" s="44"/>
      <c r="FET79" s="44"/>
      <c r="FEU79" s="44"/>
      <c r="FEV79" s="44"/>
      <c r="FEW79" s="44"/>
      <c r="FEX79" s="44"/>
      <c r="FEY79" s="44"/>
      <c r="FEZ79" s="44"/>
      <c r="FFA79" s="44"/>
      <c r="FFB79" s="44"/>
      <c r="FFC79" s="44"/>
      <c r="FFD79" s="44"/>
      <c r="FFE79" s="44"/>
      <c r="FFF79" s="44"/>
      <c r="FFG79" s="44"/>
      <c r="FFH79" s="44"/>
      <c r="FFI79" s="44"/>
      <c r="FFJ79" s="44"/>
      <c r="FFK79" s="44"/>
      <c r="FFL79" s="44"/>
      <c r="FFM79" s="44"/>
      <c r="FFN79" s="44"/>
      <c r="FFO79" s="44"/>
      <c r="FFP79" s="44"/>
      <c r="FFQ79" s="44"/>
      <c r="FFR79" s="44"/>
      <c r="FFS79" s="44"/>
      <c r="FFT79" s="44"/>
      <c r="FFU79" s="44"/>
      <c r="FFV79" s="44"/>
      <c r="FFW79" s="44"/>
      <c r="FFX79" s="44"/>
      <c r="FFY79" s="44"/>
      <c r="FFZ79" s="44"/>
      <c r="FGA79" s="44"/>
      <c r="FGB79" s="44"/>
      <c r="FGC79" s="44"/>
      <c r="FGD79" s="44"/>
      <c r="FGE79" s="44"/>
      <c r="FGF79" s="44"/>
      <c r="FGG79" s="44"/>
      <c r="FGH79" s="44"/>
      <c r="FGI79" s="44"/>
      <c r="FGJ79" s="44"/>
      <c r="FGK79" s="44"/>
      <c r="FGL79" s="44"/>
      <c r="FGM79" s="44"/>
      <c r="FGN79" s="44"/>
      <c r="FGO79" s="44"/>
      <c r="FGP79" s="44"/>
      <c r="FGQ79" s="44"/>
      <c r="FGR79" s="44"/>
      <c r="FGS79" s="44"/>
      <c r="FGT79" s="44"/>
      <c r="FGU79" s="44"/>
      <c r="FGV79" s="44"/>
      <c r="FGW79" s="44"/>
      <c r="FGX79" s="44"/>
      <c r="FGY79" s="44"/>
      <c r="FGZ79" s="44"/>
      <c r="FHA79" s="44"/>
      <c r="FHB79" s="44"/>
      <c r="FHC79" s="44"/>
      <c r="FHD79" s="44"/>
      <c r="FHE79" s="44"/>
      <c r="FHF79" s="44"/>
      <c r="FHG79" s="44"/>
      <c r="FHH79" s="44"/>
      <c r="FHI79" s="44"/>
      <c r="FHJ79" s="44"/>
      <c r="FHK79" s="44"/>
      <c r="FHL79" s="44"/>
      <c r="FHM79" s="44"/>
      <c r="FHN79" s="44"/>
      <c r="FHO79" s="44"/>
      <c r="FHP79" s="44"/>
      <c r="FHQ79" s="44"/>
      <c r="FHR79" s="44"/>
      <c r="FHS79" s="44"/>
      <c r="FHT79" s="44"/>
      <c r="FHU79" s="44"/>
      <c r="FHV79" s="44"/>
      <c r="FHW79" s="44"/>
      <c r="FHX79" s="44"/>
      <c r="FHY79" s="44"/>
      <c r="FHZ79" s="44"/>
      <c r="FIA79" s="44"/>
      <c r="FIB79" s="44"/>
      <c r="FIC79" s="44"/>
      <c r="FID79" s="44"/>
      <c r="FIE79" s="44"/>
      <c r="FIF79" s="44"/>
      <c r="FIG79" s="44"/>
      <c r="FIH79" s="44"/>
      <c r="FII79" s="44"/>
      <c r="FIJ79" s="44"/>
      <c r="FIK79" s="44"/>
      <c r="FIL79" s="44"/>
      <c r="FIM79" s="44"/>
      <c r="FIN79" s="44"/>
      <c r="FIO79" s="44"/>
      <c r="FIP79" s="44"/>
      <c r="FIQ79" s="44"/>
      <c r="FIR79" s="44"/>
      <c r="FIS79" s="44"/>
      <c r="FIT79" s="44"/>
      <c r="FIU79" s="44"/>
      <c r="FIV79" s="44"/>
      <c r="FIW79" s="44"/>
      <c r="FIX79" s="44"/>
      <c r="FIY79" s="44"/>
      <c r="FIZ79" s="44"/>
      <c r="FJA79" s="44"/>
      <c r="FJB79" s="44"/>
      <c r="FJC79" s="44"/>
      <c r="FJD79" s="44"/>
      <c r="FJE79" s="44"/>
      <c r="FJF79" s="44"/>
      <c r="FJG79" s="44"/>
      <c r="FJH79" s="44"/>
      <c r="FJI79" s="44"/>
      <c r="FJJ79" s="44"/>
      <c r="FJK79" s="44"/>
      <c r="FJL79" s="44"/>
      <c r="FJM79" s="44"/>
      <c r="FJN79" s="44"/>
      <c r="FJO79" s="44"/>
      <c r="FJP79" s="44"/>
      <c r="FJQ79" s="44"/>
      <c r="FJR79" s="44"/>
      <c r="FJS79" s="44"/>
      <c r="FJT79" s="44"/>
      <c r="FJU79" s="44"/>
      <c r="FJV79" s="44"/>
      <c r="FJW79" s="44"/>
      <c r="FJX79" s="44"/>
      <c r="FJY79" s="44"/>
      <c r="FJZ79" s="44"/>
      <c r="FKA79" s="44"/>
      <c r="FKB79" s="44"/>
      <c r="FKC79" s="44"/>
      <c r="FKD79" s="44"/>
      <c r="FKE79" s="44"/>
      <c r="FKF79" s="44"/>
      <c r="FKG79" s="44"/>
      <c r="FKH79" s="44"/>
      <c r="FKI79" s="44"/>
      <c r="FKJ79" s="44"/>
      <c r="FKK79" s="44"/>
      <c r="FKL79" s="44"/>
      <c r="FKM79" s="44"/>
      <c r="FKN79" s="44"/>
      <c r="FKO79" s="44"/>
      <c r="FKP79" s="44"/>
      <c r="FKQ79" s="44"/>
      <c r="FKR79" s="44"/>
      <c r="FKS79" s="44"/>
      <c r="FKT79" s="44"/>
      <c r="FKU79" s="44"/>
      <c r="FKV79" s="44"/>
      <c r="FKW79" s="44"/>
      <c r="FKX79" s="44"/>
      <c r="FKY79" s="44"/>
      <c r="FKZ79" s="44"/>
      <c r="FLA79" s="44"/>
      <c r="FLB79" s="44"/>
      <c r="FLC79" s="44"/>
      <c r="FLD79" s="44"/>
      <c r="FLE79" s="44"/>
      <c r="FLF79" s="44"/>
      <c r="FLG79" s="44"/>
      <c r="FLH79" s="44"/>
      <c r="FLI79" s="44"/>
      <c r="FLJ79" s="44"/>
      <c r="FLK79" s="44"/>
      <c r="FLL79" s="44"/>
      <c r="FLM79" s="44"/>
      <c r="FLN79" s="44"/>
      <c r="FLO79" s="44"/>
      <c r="FLP79" s="44"/>
      <c r="FLQ79" s="44"/>
      <c r="FLR79" s="44"/>
      <c r="FLS79" s="44"/>
      <c r="FLT79" s="44"/>
      <c r="FLU79" s="44"/>
      <c r="FLV79" s="44"/>
      <c r="FLW79" s="44"/>
      <c r="FLX79" s="44"/>
      <c r="FLY79" s="44"/>
      <c r="FLZ79" s="44"/>
      <c r="FMA79" s="44"/>
      <c r="FMB79" s="44"/>
      <c r="FMC79" s="44"/>
      <c r="FMD79" s="44"/>
      <c r="FME79" s="44"/>
      <c r="FMF79" s="44"/>
      <c r="FMG79" s="44"/>
      <c r="FMH79" s="44"/>
      <c r="FMI79" s="44"/>
      <c r="FMJ79" s="44"/>
      <c r="FMK79" s="44"/>
      <c r="FML79" s="44"/>
      <c r="FMM79" s="44"/>
      <c r="FMN79" s="44"/>
      <c r="FMO79" s="44"/>
      <c r="FMP79" s="44"/>
      <c r="FMQ79" s="44"/>
      <c r="FMR79" s="44"/>
      <c r="FMS79" s="44"/>
      <c r="FMT79" s="44"/>
      <c r="FMU79" s="44"/>
      <c r="FMV79" s="44"/>
      <c r="FMW79" s="44"/>
      <c r="FMX79" s="44"/>
      <c r="FMY79" s="44"/>
      <c r="FMZ79" s="44"/>
      <c r="FNA79" s="44"/>
      <c r="FNB79" s="44"/>
      <c r="FNC79" s="44"/>
      <c r="FND79" s="44"/>
      <c r="FNE79" s="44"/>
      <c r="FNF79" s="44"/>
      <c r="FNG79" s="44"/>
      <c r="FNH79" s="44"/>
      <c r="FNI79" s="44"/>
      <c r="FNJ79" s="44"/>
      <c r="FNK79" s="44"/>
      <c r="FNL79" s="44"/>
      <c r="FNM79" s="44"/>
      <c r="FNN79" s="44"/>
      <c r="FNO79" s="44"/>
      <c r="FNP79" s="44"/>
      <c r="FNQ79" s="44"/>
      <c r="FNR79" s="44"/>
      <c r="FNS79" s="44"/>
      <c r="FNT79" s="44"/>
      <c r="FNU79" s="44"/>
      <c r="FNV79" s="44"/>
      <c r="FNW79" s="44"/>
      <c r="FNX79" s="44"/>
      <c r="FNY79" s="44"/>
      <c r="FNZ79" s="44"/>
      <c r="FOA79" s="44"/>
      <c r="FOB79" s="44"/>
      <c r="FOC79" s="44"/>
      <c r="FOD79" s="44"/>
      <c r="FOE79" s="44"/>
      <c r="FOF79" s="44"/>
      <c r="FOG79" s="44"/>
      <c r="FOH79" s="44"/>
      <c r="FOI79" s="44"/>
      <c r="FOJ79" s="44"/>
      <c r="FOK79" s="44"/>
      <c r="FOL79" s="44"/>
      <c r="FOM79" s="44"/>
      <c r="FON79" s="44"/>
      <c r="FOO79" s="44"/>
      <c r="FOP79" s="44"/>
      <c r="FOQ79" s="44"/>
      <c r="FOR79" s="44"/>
      <c r="FOS79" s="44"/>
      <c r="FOT79" s="44"/>
      <c r="FOU79" s="44"/>
      <c r="FOV79" s="44"/>
      <c r="FOW79" s="44"/>
      <c r="FOX79" s="44"/>
      <c r="FOY79" s="44"/>
      <c r="FOZ79" s="44"/>
      <c r="FPA79" s="44"/>
      <c r="FPB79" s="44"/>
      <c r="FPC79" s="44"/>
      <c r="FPD79" s="44"/>
      <c r="FPE79" s="44"/>
      <c r="FPF79" s="44"/>
      <c r="FPG79" s="44"/>
      <c r="FPH79" s="44"/>
      <c r="FPI79" s="44"/>
      <c r="FPJ79" s="44"/>
      <c r="FPK79" s="44"/>
      <c r="FPL79" s="44"/>
      <c r="FPM79" s="44"/>
      <c r="FPN79" s="44"/>
      <c r="FPO79" s="44"/>
      <c r="FPP79" s="44"/>
      <c r="FPQ79" s="44"/>
      <c r="FPR79" s="44"/>
      <c r="FPS79" s="44"/>
      <c r="FPT79" s="44"/>
      <c r="FPU79" s="44"/>
      <c r="FPV79" s="44"/>
      <c r="FPW79" s="44"/>
      <c r="FPX79" s="44"/>
      <c r="FPY79" s="44"/>
      <c r="FPZ79" s="44"/>
      <c r="FQA79" s="44"/>
      <c r="FQB79" s="44"/>
      <c r="FQC79" s="44"/>
      <c r="FQD79" s="44"/>
      <c r="FQE79" s="44"/>
      <c r="FQF79" s="44"/>
      <c r="FQG79" s="44"/>
      <c r="FQH79" s="44"/>
      <c r="FQI79" s="44"/>
      <c r="FQJ79" s="44"/>
      <c r="FQK79" s="44"/>
      <c r="FQL79" s="44"/>
      <c r="FQM79" s="44"/>
      <c r="FQN79" s="44"/>
      <c r="FQO79" s="44"/>
      <c r="FQP79" s="44"/>
      <c r="FQQ79" s="44"/>
      <c r="FQR79" s="44"/>
      <c r="FQS79" s="44"/>
      <c r="FQT79" s="44"/>
      <c r="FQU79" s="44"/>
      <c r="FQV79" s="44"/>
      <c r="FQW79" s="44"/>
      <c r="FQX79" s="44"/>
      <c r="FQY79" s="44"/>
      <c r="FQZ79" s="44"/>
      <c r="FRA79" s="44"/>
      <c r="FRB79" s="44"/>
      <c r="FRC79" s="44"/>
      <c r="FRD79" s="44"/>
      <c r="FRE79" s="44"/>
      <c r="FRF79" s="44"/>
      <c r="FRG79" s="44"/>
      <c r="FRH79" s="44"/>
      <c r="FRI79" s="44"/>
      <c r="FRJ79" s="44"/>
      <c r="FRK79" s="44"/>
      <c r="FRL79" s="44"/>
      <c r="FRM79" s="44"/>
      <c r="FRN79" s="44"/>
      <c r="FRO79" s="44"/>
      <c r="FRP79" s="44"/>
      <c r="FRQ79" s="44"/>
      <c r="FRR79" s="44"/>
      <c r="FRS79" s="44"/>
      <c r="FRT79" s="44"/>
      <c r="FRU79" s="44"/>
      <c r="FRV79" s="44"/>
      <c r="FRW79" s="44"/>
      <c r="FRX79" s="44"/>
      <c r="FRY79" s="44"/>
      <c r="FRZ79" s="44"/>
      <c r="FSA79" s="44"/>
      <c r="FSB79" s="44"/>
      <c r="FSC79" s="44"/>
      <c r="FSD79" s="44"/>
      <c r="FSE79" s="44"/>
      <c r="FSF79" s="44"/>
      <c r="FSG79" s="44"/>
      <c r="FSH79" s="44"/>
      <c r="FSI79" s="44"/>
      <c r="FSJ79" s="44"/>
      <c r="FSK79" s="44"/>
      <c r="FSL79" s="44"/>
      <c r="FSM79" s="44"/>
      <c r="FSN79" s="44"/>
      <c r="FSO79" s="44"/>
      <c r="FSP79" s="44"/>
      <c r="FSQ79" s="44"/>
      <c r="FSR79" s="44"/>
      <c r="FSS79" s="44"/>
      <c r="FST79" s="44"/>
      <c r="FSU79" s="44"/>
      <c r="FSV79" s="44"/>
      <c r="FSW79" s="44"/>
      <c r="FSX79" s="44"/>
      <c r="FSY79" s="44"/>
      <c r="FSZ79" s="44"/>
      <c r="FTA79" s="44"/>
      <c r="FTB79" s="44"/>
      <c r="FTC79" s="44"/>
      <c r="FTD79" s="44"/>
      <c r="FTE79" s="44"/>
      <c r="FTF79" s="44"/>
      <c r="FTG79" s="44"/>
      <c r="FTH79" s="44"/>
      <c r="FTI79" s="44"/>
      <c r="FTJ79" s="44"/>
      <c r="FTK79" s="44"/>
      <c r="FTL79" s="44"/>
      <c r="FTM79" s="44"/>
      <c r="FTN79" s="44"/>
      <c r="FTO79" s="44"/>
      <c r="FTP79" s="44"/>
      <c r="FTQ79" s="44"/>
      <c r="FTR79" s="44"/>
      <c r="FTS79" s="44"/>
      <c r="FTT79" s="44"/>
      <c r="FTU79" s="44"/>
      <c r="FTV79" s="44"/>
      <c r="FTW79" s="44"/>
      <c r="FTX79" s="44"/>
      <c r="FTY79" s="44"/>
      <c r="FTZ79" s="44"/>
      <c r="FUA79" s="44"/>
      <c r="FUB79" s="44"/>
      <c r="FUC79" s="44"/>
      <c r="FUD79" s="44"/>
      <c r="FUE79" s="44"/>
      <c r="FUF79" s="44"/>
      <c r="FUG79" s="44"/>
      <c r="FUH79" s="44"/>
      <c r="FUI79" s="44"/>
      <c r="FUJ79" s="44"/>
      <c r="FUK79" s="44"/>
      <c r="FUL79" s="44"/>
      <c r="FUM79" s="44"/>
      <c r="FUN79" s="44"/>
      <c r="FUO79" s="44"/>
      <c r="FUP79" s="44"/>
      <c r="FUQ79" s="44"/>
      <c r="FUR79" s="44"/>
      <c r="FUS79" s="44"/>
      <c r="FUT79" s="44"/>
      <c r="FUU79" s="44"/>
      <c r="FUV79" s="44"/>
      <c r="FUW79" s="44"/>
      <c r="FUX79" s="44"/>
      <c r="FUY79" s="44"/>
      <c r="FUZ79" s="44"/>
      <c r="FVA79" s="44"/>
      <c r="FVB79" s="44"/>
      <c r="FVC79" s="44"/>
      <c r="FVD79" s="44"/>
      <c r="FVE79" s="44"/>
      <c r="FVF79" s="44"/>
      <c r="FVG79" s="44"/>
      <c r="FVH79" s="44"/>
      <c r="FVI79" s="44"/>
      <c r="FVJ79" s="44"/>
      <c r="FVK79" s="44"/>
      <c r="FVL79" s="44"/>
      <c r="FVM79" s="44"/>
      <c r="FVN79" s="44"/>
      <c r="FVO79" s="44"/>
      <c r="FVP79" s="44"/>
      <c r="FVQ79" s="44"/>
      <c r="FVR79" s="44"/>
      <c r="FVS79" s="44"/>
      <c r="FVT79" s="44"/>
      <c r="FVU79" s="44"/>
      <c r="FVV79" s="44"/>
      <c r="FVW79" s="44"/>
      <c r="FVX79" s="44"/>
      <c r="FVY79" s="44"/>
      <c r="FVZ79" s="44"/>
      <c r="FWA79" s="44"/>
      <c r="FWB79" s="44"/>
      <c r="FWC79" s="44"/>
      <c r="FWD79" s="44"/>
      <c r="FWE79" s="44"/>
      <c r="FWF79" s="44"/>
      <c r="FWG79" s="44"/>
      <c r="FWH79" s="44"/>
      <c r="FWI79" s="44"/>
      <c r="FWJ79" s="44"/>
      <c r="FWK79" s="44"/>
      <c r="FWL79" s="44"/>
      <c r="FWM79" s="44"/>
      <c r="FWN79" s="44"/>
      <c r="FWO79" s="44"/>
      <c r="FWP79" s="44"/>
      <c r="FWQ79" s="44"/>
      <c r="FWR79" s="44"/>
      <c r="FWS79" s="44"/>
      <c r="FWT79" s="44"/>
      <c r="FWU79" s="44"/>
      <c r="FWV79" s="44"/>
      <c r="FWW79" s="44"/>
      <c r="FWX79" s="44"/>
      <c r="FWY79" s="44"/>
      <c r="FWZ79" s="44"/>
      <c r="FXA79" s="44"/>
      <c r="FXB79" s="44"/>
      <c r="FXC79" s="44"/>
      <c r="FXD79" s="44"/>
      <c r="FXE79" s="44"/>
      <c r="FXF79" s="44"/>
      <c r="FXG79" s="44"/>
      <c r="FXH79" s="44"/>
      <c r="FXI79" s="44"/>
      <c r="FXJ79" s="44"/>
      <c r="FXK79" s="44"/>
      <c r="FXL79" s="44"/>
      <c r="FXM79" s="44"/>
      <c r="FXN79" s="44"/>
      <c r="FXO79" s="44"/>
      <c r="FXP79" s="44"/>
      <c r="FXQ79" s="44"/>
      <c r="FXR79" s="44"/>
      <c r="FXS79" s="44"/>
      <c r="FXT79" s="44"/>
      <c r="FXU79" s="44"/>
      <c r="FXV79" s="44"/>
      <c r="FXW79" s="44"/>
      <c r="FXX79" s="44"/>
      <c r="FXY79" s="44"/>
      <c r="FXZ79" s="44"/>
      <c r="FYA79" s="44"/>
      <c r="FYB79" s="44"/>
      <c r="FYC79" s="44"/>
      <c r="FYD79" s="44"/>
      <c r="FYE79" s="44"/>
      <c r="FYF79" s="44"/>
      <c r="FYG79" s="44"/>
      <c r="FYH79" s="44"/>
      <c r="FYI79" s="44"/>
      <c r="FYJ79" s="44"/>
      <c r="FYK79" s="44"/>
      <c r="FYL79" s="44"/>
      <c r="FYM79" s="44"/>
      <c r="FYN79" s="44"/>
      <c r="FYO79" s="44"/>
      <c r="FYP79" s="44"/>
      <c r="FYQ79" s="44"/>
      <c r="FYR79" s="44"/>
      <c r="FYS79" s="44"/>
      <c r="FYT79" s="44"/>
      <c r="FYU79" s="44"/>
      <c r="FYV79" s="44"/>
      <c r="FYW79" s="44"/>
      <c r="FYX79" s="44"/>
      <c r="FYY79" s="44"/>
      <c r="FYZ79" s="44"/>
      <c r="FZA79" s="44"/>
      <c r="FZB79" s="44"/>
      <c r="FZC79" s="44"/>
      <c r="FZD79" s="44"/>
      <c r="FZE79" s="44"/>
      <c r="FZF79" s="44"/>
      <c r="FZG79" s="44"/>
      <c r="FZH79" s="44"/>
      <c r="FZI79" s="44"/>
      <c r="FZJ79" s="44"/>
      <c r="FZK79" s="44"/>
      <c r="FZL79" s="44"/>
      <c r="FZM79" s="44"/>
      <c r="FZN79" s="44"/>
      <c r="FZO79" s="44"/>
      <c r="FZP79" s="44"/>
      <c r="FZQ79" s="44"/>
      <c r="FZR79" s="44"/>
      <c r="FZS79" s="44"/>
      <c r="FZT79" s="44"/>
      <c r="FZU79" s="44"/>
      <c r="FZV79" s="44"/>
      <c r="FZW79" s="44"/>
      <c r="FZX79" s="44"/>
      <c r="FZY79" s="44"/>
      <c r="FZZ79" s="44"/>
      <c r="GAA79" s="44"/>
      <c r="GAB79" s="44"/>
      <c r="GAC79" s="44"/>
      <c r="GAD79" s="44"/>
      <c r="GAE79" s="44"/>
      <c r="GAF79" s="44"/>
      <c r="GAG79" s="44"/>
      <c r="GAH79" s="44"/>
      <c r="GAI79" s="44"/>
      <c r="GAJ79" s="44"/>
      <c r="GAK79" s="44"/>
      <c r="GAL79" s="44"/>
      <c r="GAM79" s="44"/>
      <c r="GAN79" s="44"/>
      <c r="GAO79" s="44"/>
      <c r="GAP79" s="44"/>
      <c r="GAQ79" s="44"/>
      <c r="GAR79" s="44"/>
      <c r="GAS79" s="44"/>
      <c r="GAT79" s="44"/>
      <c r="GAU79" s="44"/>
      <c r="GAV79" s="44"/>
      <c r="GAW79" s="44"/>
      <c r="GAX79" s="44"/>
      <c r="GAY79" s="44"/>
      <c r="GAZ79" s="44"/>
      <c r="GBA79" s="44"/>
      <c r="GBB79" s="44"/>
      <c r="GBC79" s="44"/>
      <c r="GBD79" s="44"/>
      <c r="GBE79" s="44"/>
      <c r="GBF79" s="44"/>
      <c r="GBG79" s="44"/>
      <c r="GBH79" s="44"/>
      <c r="GBI79" s="44"/>
      <c r="GBJ79" s="44"/>
      <c r="GBK79" s="44"/>
      <c r="GBL79" s="44"/>
      <c r="GBM79" s="44"/>
      <c r="GBN79" s="44"/>
      <c r="GBO79" s="44"/>
      <c r="GBP79" s="44"/>
      <c r="GBQ79" s="44"/>
      <c r="GBR79" s="44"/>
      <c r="GBS79" s="44"/>
      <c r="GBT79" s="44"/>
      <c r="GBU79" s="44"/>
      <c r="GBV79" s="44"/>
      <c r="GBW79" s="44"/>
      <c r="GBX79" s="44"/>
      <c r="GBY79" s="44"/>
      <c r="GBZ79" s="44"/>
      <c r="GCA79" s="44"/>
      <c r="GCB79" s="44"/>
      <c r="GCC79" s="44"/>
      <c r="GCD79" s="44"/>
      <c r="GCE79" s="44"/>
      <c r="GCF79" s="44"/>
      <c r="GCG79" s="44"/>
      <c r="GCH79" s="44"/>
      <c r="GCI79" s="44"/>
      <c r="GCJ79" s="44"/>
      <c r="GCK79" s="44"/>
      <c r="GCL79" s="44"/>
      <c r="GCM79" s="44"/>
      <c r="GCN79" s="44"/>
      <c r="GCO79" s="44"/>
      <c r="GCP79" s="44"/>
      <c r="GCQ79" s="44"/>
      <c r="GCR79" s="44"/>
      <c r="GCS79" s="44"/>
      <c r="GCT79" s="44"/>
      <c r="GCU79" s="44"/>
      <c r="GCV79" s="44"/>
      <c r="GCW79" s="44"/>
      <c r="GCX79" s="44"/>
      <c r="GCY79" s="44"/>
      <c r="GCZ79" s="44"/>
      <c r="GDA79" s="44"/>
      <c r="GDB79" s="44"/>
      <c r="GDC79" s="44"/>
      <c r="GDD79" s="44"/>
      <c r="GDE79" s="44"/>
      <c r="GDF79" s="44"/>
      <c r="GDG79" s="44"/>
      <c r="GDH79" s="44"/>
      <c r="GDI79" s="44"/>
      <c r="GDJ79" s="44"/>
      <c r="GDK79" s="44"/>
      <c r="GDL79" s="44"/>
      <c r="GDM79" s="44"/>
      <c r="GDN79" s="44"/>
      <c r="GDO79" s="44"/>
      <c r="GDP79" s="44"/>
      <c r="GDQ79" s="44"/>
      <c r="GDR79" s="44"/>
      <c r="GDS79" s="44"/>
      <c r="GDT79" s="44"/>
      <c r="GDU79" s="44"/>
      <c r="GDV79" s="44"/>
      <c r="GDW79" s="44"/>
      <c r="GDX79" s="44"/>
      <c r="GDY79" s="44"/>
      <c r="GDZ79" s="44"/>
      <c r="GEA79" s="44"/>
      <c r="GEB79" s="44"/>
      <c r="GEC79" s="44"/>
      <c r="GED79" s="44"/>
      <c r="GEE79" s="44"/>
      <c r="GEF79" s="44"/>
      <c r="GEG79" s="44"/>
      <c r="GEH79" s="44"/>
      <c r="GEI79" s="44"/>
      <c r="GEJ79" s="44"/>
      <c r="GEK79" s="44"/>
      <c r="GEL79" s="44"/>
      <c r="GEM79" s="44"/>
      <c r="GEN79" s="44"/>
      <c r="GEO79" s="44"/>
      <c r="GEP79" s="44"/>
      <c r="GEQ79" s="44"/>
      <c r="GER79" s="44"/>
      <c r="GES79" s="44"/>
      <c r="GET79" s="44"/>
      <c r="GEU79" s="44"/>
      <c r="GEV79" s="44"/>
      <c r="GEW79" s="44"/>
      <c r="GEX79" s="44"/>
      <c r="GEY79" s="44"/>
      <c r="GEZ79" s="44"/>
      <c r="GFA79" s="44"/>
      <c r="GFB79" s="44"/>
      <c r="GFC79" s="44"/>
      <c r="GFD79" s="44"/>
      <c r="GFE79" s="44"/>
      <c r="GFF79" s="44"/>
      <c r="GFG79" s="44"/>
      <c r="GFH79" s="44"/>
      <c r="GFI79" s="44"/>
      <c r="GFJ79" s="44"/>
      <c r="GFK79" s="44"/>
      <c r="GFL79" s="44"/>
      <c r="GFM79" s="44"/>
      <c r="GFN79" s="44"/>
      <c r="GFO79" s="44"/>
      <c r="GFP79" s="44"/>
      <c r="GFQ79" s="44"/>
      <c r="GFR79" s="44"/>
      <c r="GFS79" s="44"/>
      <c r="GFT79" s="44"/>
      <c r="GFU79" s="44"/>
      <c r="GFV79" s="44"/>
      <c r="GFW79" s="44"/>
      <c r="GFX79" s="44"/>
      <c r="GFY79" s="44"/>
      <c r="GFZ79" s="44"/>
      <c r="GGA79" s="44"/>
      <c r="GGB79" s="44"/>
      <c r="GGC79" s="44"/>
      <c r="GGD79" s="44"/>
      <c r="GGE79" s="44"/>
      <c r="GGF79" s="44"/>
      <c r="GGG79" s="44"/>
      <c r="GGH79" s="44"/>
      <c r="GGI79" s="44"/>
      <c r="GGJ79" s="44"/>
      <c r="GGK79" s="44"/>
      <c r="GGL79" s="44"/>
      <c r="GGM79" s="44"/>
      <c r="GGN79" s="44"/>
      <c r="GGO79" s="44"/>
      <c r="GGP79" s="44"/>
      <c r="GGQ79" s="44"/>
      <c r="GGR79" s="44"/>
      <c r="GGS79" s="44"/>
      <c r="GGT79" s="44"/>
      <c r="GGU79" s="44"/>
      <c r="GGV79" s="44"/>
      <c r="GGW79" s="44"/>
      <c r="GGX79" s="44"/>
      <c r="GGY79" s="44"/>
      <c r="GGZ79" s="44"/>
      <c r="GHA79" s="44"/>
      <c r="GHB79" s="44"/>
      <c r="GHC79" s="44"/>
      <c r="GHD79" s="44"/>
      <c r="GHE79" s="44"/>
      <c r="GHF79" s="44"/>
      <c r="GHG79" s="44"/>
      <c r="GHH79" s="44"/>
      <c r="GHI79" s="44"/>
      <c r="GHJ79" s="44"/>
      <c r="GHK79" s="44"/>
      <c r="GHL79" s="44"/>
      <c r="GHM79" s="44"/>
      <c r="GHN79" s="44"/>
      <c r="GHO79" s="44"/>
      <c r="GHP79" s="44"/>
      <c r="GHQ79" s="44"/>
      <c r="GHR79" s="44"/>
      <c r="GHS79" s="44"/>
      <c r="GHT79" s="44"/>
      <c r="GHU79" s="44"/>
      <c r="GHV79" s="44"/>
      <c r="GHW79" s="44"/>
      <c r="GHX79" s="44"/>
      <c r="GHY79" s="44"/>
      <c r="GHZ79" s="44"/>
      <c r="GIA79" s="44"/>
      <c r="GIB79" s="44"/>
      <c r="GIC79" s="44"/>
      <c r="GID79" s="44"/>
      <c r="GIE79" s="44"/>
      <c r="GIF79" s="44"/>
      <c r="GIG79" s="44"/>
      <c r="GIH79" s="44"/>
      <c r="GII79" s="44"/>
      <c r="GIJ79" s="44"/>
      <c r="GIK79" s="44"/>
      <c r="GIL79" s="44"/>
      <c r="GIM79" s="44"/>
      <c r="GIN79" s="44"/>
      <c r="GIO79" s="44"/>
      <c r="GIP79" s="44"/>
      <c r="GIQ79" s="44"/>
      <c r="GIR79" s="44"/>
      <c r="GIS79" s="44"/>
      <c r="GIT79" s="44"/>
      <c r="GIU79" s="44"/>
      <c r="GIV79" s="44"/>
      <c r="GIW79" s="44"/>
      <c r="GIX79" s="44"/>
      <c r="GIY79" s="44"/>
      <c r="GIZ79" s="44"/>
      <c r="GJA79" s="44"/>
      <c r="GJB79" s="44"/>
      <c r="GJC79" s="44"/>
      <c r="GJD79" s="44"/>
      <c r="GJE79" s="44"/>
      <c r="GJF79" s="44"/>
      <c r="GJG79" s="44"/>
      <c r="GJH79" s="44"/>
      <c r="GJI79" s="44"/>
      <c r="GJJ79" s="44"/>
      <c r="GJK79" s="44"/>
      <c r="GJL79" s="44"/>
      <c r="GJM79" s="44"/>
      <c r="GJN79" s="44"/>
      <c r="GJO79" s="44"/>
      <c r="GJP79" s="44"/>
      <c r="GJQ79" s="44"/>
      <c r="GJR79" s="44"/>
      <c r="GJS79" s="44"/>
      <c r="GJT79" s="44"/>
      <c r="GJU79" s="44"/>
      <c r="GJV79" s="44"/>
      <c r="GJW79" s="44"/>
      <c r="GJX79" s="44"/>
      <c r="GJY79" s="44"/>
      <c r="GJZ79" s="44"/>
      <c r="GKA79" s="44"/>
      <c r="GKB79" s="44"/>
      <c r="GKC79" s="44"/>
      <c r="GKD79" s="44"/>
      <c r="GKE79" s="44"/>
      <c r="GKF79" s="44"/>
      <c r="GKG79" s="44"/>
      <c r="GKH79" s="44"/>
      <c r="GKI79" s="44"/>
      <c r="GKJ79" s="44"/>
      <c r="GKK79" s="44"/>
      <c r="GKL79" s="44"/>
      <c r="GKM79" s="44"/>
      <c r="GKN79" s="44"/>
      <c r="GKO79" s="44"/>
      <c r="GKP79" s="44"/>
      <c r="GKQ79" s="44"/>
      <c r="GKR79" s="44"/>
      <c r="GKS79" s="44"/>
      <c r="GKT79" s="44"/>
      <c r="GKU79" s="44"/>
      <c r="GKV79" s="44"/>
      <c r="GKW79" s="44"/>
      <c r="GKX79" s="44"/>
      <c r="GKY79" s="44"/>
      <c r="GKZ79" s="44"/>
      <c r="GLA79" s="44"/>
      <c r="GLB79" s="44"/>
      <c r="GLC79" s="44"/>
      <c r="GLD79" s="44"/>
      <c r="GLE79" s="44"/>
      <c r="GLF79" s="44"/>
      <c r="GLG79" s="44"/>
      <c r="GLH79" s="44"/>
      <c r="GLI79" s="44"/>
      <c r="GLJ79" s="44"/>
      <c r="GLK79" s="44"/>
      <c r="GLL79" s="44"/>
      <c r="GLM79" s="44"/>
      <c r="GLN79" s="44"/>
      <c r="GLO79" s="44"/>
      <c r="GLP79" s="44"/>
      <c r="GLQ79" s="44"/>
      <c r="GLR79" s="44"/>
      <c r="GLS79" s="44"/>
      <c r="GLT79" s="44"/>
      <c r="GLU79" s="44"/>
      <c r="GLV79" s="44"/>
      <c r="GLW79" s="44"/>
      <c r="GLX79" s="44"/>
      <c r="GLY79" s="44"/>
      <c r="GLZ79" s="44"/>
      <c r="GMA79" s="44"/>
      <c r="GMB79" s="44"/>
      <c r="GMC79" s="44"/>
      <c r="GMD79" s="44"/>
      <c r="GME79" s="44"/>
      <c r="GMF79" s="44"/>
      <c r="GMG79" s="44"/>
      <c r="GMH79" s="44"/>
      <c r="GMI79" s="44"/>
      <c r="GMJ79" s="44"/>
      <c r="GMK79" s="44"/>
      <c r="GML79" s="44"/>
      <c r="GMM79" s="44"/>
      <c r="GMN79" s="44"/>
      <c r="GMO79" s="44"/>
      <c r="GMP79" s="44"/>
      <c r="GMQ79" s="44"/>
      <c r="GMR79" s="44"/>
      <c r="GMS79" s="44"/>
      <c r="GMT79" s="44"/>
      <c r="GMU79" s="44"/>
      <c r="GMV79" s="44"/>
      <c r="GMW79" s="44"/>
      <c r="GMX79" s="44"/>
      <c r="GMY79" s="44"/>
      <c r="GMZ79" s="44"/>
      <c r="GNA79" s="44"/>
      <c r="GNB79" s="44"/>
      <c r="GNC79" s="44"/>
      <c r="GND79" s="44"/>
      <c r="GNE79" s="44"/>
      <c r="GNF79" s="44"/>
      <c r="GNG79" s="44"/>
      <c r="GNH79" s="44"/>
      <c r="GNI79" s="44"/>
      <c r="GNJ79" s="44"/>
      <c r="GNK79" s="44"/>
      <c r="GNL79" s="44"/>
      <c r="GNM79" s="44"/>
      <c r="GNN79" s="44"/>
      <c r="GNO79" s="44"/>
      <c r="GNP79" s="44"/>
      <c r="GNQ79" s="44"/>
      <c r="GNR79" s="44"/>
      <c r="GNS79" s="44"/>
      <c r="GNT79" s="44"/>
      <c r="GNU79" s="44"/>
      <c r="GNV79" s="44"/>
      <c r="GNW79" s="44"/>
      <c r="GNX79" s="44"/>
      <c r="GNY79" s="44"/>
      <c r="GNZ79" s="44"/>
      <c r="GOA79" s="44"/>
      <c r="GOB79" s="44"/>
      <c r="GOC79" s="44"/>
      <c r="GOD79" s="44"/>
      <c r="GOE79" s="44"/>
      <c r="GOF79" s="44"/>
      <c r="GOG79" s="44"/>
      <c r="GOH79" s="44"/>
      <c r="GOI79" s="44"/>
      <c r="GOJ79" s="44"/>
      <c r="GOK79" s="44"/>
      <c r="GOL79" s="44"/>
      <c r="GOM79" s="44"/>
      <c r="GON79" s="44"/>
      <c r="GOO79" s="44"/>
      <c r="GOP79" s="44"/>
      <c r="GOQ79" s="44"/>
      <c r="GOR79" s="44"/>
      <c r="GOS79" s="44"/>
      <c r="GOT79" s="44"/>
      <c r="GOU79" s="44"/>
      <c r="GOV79" s="44"/>
      <c r="GOW79" s="44"/>
      <c r="GOX79" s="44"/>
      <c r="GOY79" s="44"/>
      <c r="GOZ79" s="44"/>
      <c r="GPA79" s="44"/>
      <c r="GPB79" s="44"/>
      <c r="GPC79" s="44"/>
      <c r="GPD79" s="44"/>
      <c r="GPE79" s="44"/>
      <c r="GPF79" s="44"/>
      <c r="GPG79" s="44"/>
      <c r="GPH79" s="44"/>
      <c r="GPI79" s="44"/>
      <c r="GPJ79" s="44"/>
      <c r="GPK79" s="44"/>
      <c r="GPL79" s="44"/>
      <c r="GPM79" s="44"/>
      <c r="GPN79" s="44"/>
      <c r="GPO79" s="44"/>
      <c r="GPP79" s="44"/>
      <c r="GPQ79" s="44"/>
      <c r="GPR79" s="44"/>
      <c r="GPS79" s="44"/>
      <c r="GPT79" s="44"/>
      <c r="GPU79" s="44"/>
      <c r="GPV79" s="44"/>
      <c r="GPW79" s="44"/>
      <c r="GPX79" s="44"/>
      <c r="GPY79" s="44"/>
      <c r="GPZ79" s="44"/>
      <c r="GQA79" s="44"/>
      <c r="GQB79" s="44"/>
      <c r="GQC79" s="44"/>
      <c r="GQD79" s="44"/>
      <c r="GQE79" s="44"/>
      <c r="GQF79" s="44"/>
      <c r="GQG79" s="44"/>
      <c r="GQH79" s="44"/>
      <c r="GQI79" s="44"/>
      <c r="GQJ79" s="44"/>
      <c r="GQK79" s="44"/>
      <c r="GQL79" s="44"/>
      <c r="GQM79" s="44"/>
      <c r="GQN79" s="44"/>
      <c r="GQO79" s="44"/>
      <c r="GQP79" s="44"/>
      <c r="GQQ79" s="44"/>
      <c r="GQR79" s="44"/>
      <c r="GQS79" s="44"/>
      <c r="GQT79" s="44"/>
      <c r="GQU79" s="44"/>
      <c r="GQV79" s="44"/>
      <c r="GQW79" s="44"/>
      <c r="GQX79" s="44"/>
      <c r="GQY79" s="44"/>
      <c r="GQZ79" s="44"/>
      <c r="GRA79" s="44"/>
      <c r="GRB79" s="44"/>
      <c r="GRC79" s="44"/>
      <c r="GRD79" s="44"/>
      <c r="GRE79" s="44"/>
      <c r="GRF79" s="44"/>
      <c r="GRG79" s="44"/>
      <c r="GRH79" s="44"/>
      <c r="GRI79" s="44"/>
      <c r="GRJ79" s="44"/>
      <c r="GRK79" s="44"/>
      <c r="GRL79" s="44"/>
      <c r="GRM79" s="44"/>
      <c r="GRN79" s="44"/>
      <c r="GRO79" s="44"/>
      <c r="GRP79" s="44"/>
      <c r="GRQ79" s="44"/>
      <c r="GRR79" s="44"/>
      <c r="GRS79" s="44"/>
      <c r="GRT79" s="44"/>
      <c r="GRU79" s="44"/>
      <c r="GRV79" s="44"/>
      <c r="GRW79" s="44"/>
      <c r="GRX79" s="44"/>
      <c r="GRY79" s="44"/>
      <c r="GRZ79" s="44"/>
      <c r="GSA79" s="44"/>
      <c r="GSB79" s="44"/>
      <c r="GSC79" s="44"/>
      <c r="GSD79" s="44"/>
      <c r="GSE79" s="44"/>
      <c r="GSF79" s="44"/>
      <c r="GSG79" s="44"/>
      <c r="GSH79" s="44"/>
      <c r="GSI79" s="44"/>
      <c r="GSJ79" s="44"/>
      <c r="GSK79" s="44"/>
      <c r="GSL79" s="44"/>
      <c r="GSM79" s="44"/>
      <c r="GSN79" s="44"/>
      <c r="GSO79" s="44"/>
      <c r="GSP79" s="44"/>
      <c r="GSQ79" s="44"/>
      <c r="GSR79" s="44"/>
      <c r="GSS79" s="44"/>
      <c r="GST79" s="44"/>
      <c r="GSU79" s="44"/>
      <c r="GSV79" s="44"/>
      <c r="GSW79" s="44"/>
      <c r="GSX79" s="44"/>
      <c r="GSY79" s="44"/>
      <c r="GSZ79" s="44"/>
      <c r="GTA79" s="44"/>
      <c r="GTB79" s="44"/>
      <c r="GTC79" s="44"/>
      <c r="GTD79" s="44"/>
      <c r="GTE79" s="44"/>
      <c r="GTF79" s="44"/>
      <c r="GTG79" s="44"/>
      <c r="GTH79" s="44"/>
      <c r="GTI79" s="44"/>
      <c r="GTJ79" s="44"/>
      <c r="GTK79" s="44"/>
      <c r="GTL79" s="44"/>
      <c r="GTM79" s="44"/>
      <c r="GTN79" s="44"/>
      <c r="GTO79" s="44"/>
      <c r="GTP79" s="44"/>
      <c r="GTQ79" s="44"/>
      <c r="GTR79" s="44"/>
      <c r="GTS79" s="44"/>
      <c r="GTT79" s="44"/>
      <c r="GTU79" s="44"/>
      <c r="GTV79" s="44"/>
      <c r="GTW79" s="44"/>
      <c r="GTX79" s="44"/>
      <c r="GTY79" s="44"/>
      <c r="GTZ79" s="44"/>
      <c r="GUA79" s="44"/>
      <c r="GUB79" s="44"/>
      <c r="GUC79" s="44"/>
      <c r="GUD79" s="44"/>
      <c r="GUE79" s="44"/>
      <c r="GUF79" s="44"/>
      <c r="GUG79" s="44"/>
      <c r="GUH79" s="44"/>
      <c r="GUI79" s="44"/>
      <c r="GUJ79" s="44"/>
      <c r="GUK79" s="44"/>
      <c r="GUL79" s="44"/>
      <c r="GUM79" s="44"/>
      <c r="GUN79" s="44"/>
      <c r="GUO79" s="44"/>
      <c r="GUP79" s="44"/>
      <c r="GUQ79" s="44"/>
      <c r="GUR79" s="44"/>
      <c r="GUS79" s="44"/>
      <c r="GUT79" s="44"/>
      <c r="GUU79" s="44"/>
      <c r="GUV79" s="44"/>
      <c r="GUW79" s="44"/>
      <c r="GUX79" s="44"/>
      <c r="GUY79" s="44"/>
      <c r="GUZ79" s="44"/>
      <c r="GVA79" s="44"/>
      <c r="GVB79" s="44"/>
      <c r="GVC79" s="44"/>
      <c r="GVD79" s="44"/>
      <c r="GVE79" s="44"/>
      <c r="GVF79" s="44"/>
      <c r="GVG79" s="44"/>
      <c r="GVH79" s="44"/>
      <c r="GVI79" s="44"/>
      <c r="GVJ79" s="44"/>
      <c r="GVK79" s="44"/>
      <c r="GVL79" s="44"/>
      <c r="GVM79" s="44"/>
      <c r="GVN79" s="44"/>
      <c r="GVO79" s="44"/>
      <c r="GVP79" s="44"/>
      <c r="GVQ79" s="44"/>
      <c r="GVR79" s="44"/>
      <c r="GVS79" s="44"/>
      <c r="GVT79" s="44"/>
      <c r="GVU79" s="44"/>
      <c r="GVV79" s="44"/>
      <c r="GVW79" s="44"/>
      <c r="GVX79" s="44"/>
      <c r="GVY79" s="44"/>
      <c r="GVZ79" s="44"/>
      <c r="GWA79" s="44"/>
      <c r="GWB79" s="44"/>
      <c r="GWC79" s="44"/>
      <c r="GWD79" s="44"/>
      <c r="GWE79" s="44"/>
      <c r="GWF79" s="44"/>
      <c r="GWG79" s="44"/>
      <c r="GWH79" s="44"/>
      <c r="GWI79" s="44"/>
      <c r="GWJ79" s="44"/>
      <c r="GWK79" s="44"/>
      <c r="GWL79" s="44"/>
      <c r="GWM79" s="44"/>
      <c r="GWN79" s="44"/>
      <c r="GWO79" s="44"/>
      <c r="GWP79" s="44"/>
      <c r="GWQ79" s="44"/>
      <c r="GWR79" s="44"/>
      <c r="GWS79" s="44"/>
      <c r="GWT79" s="44"/>
      <c r="GWU79" s="44"/>
      <c r="GWV79" s="44"/>
      <c r="GWW79" s="44"/>
      <c r="GWX79" s="44"/>
      <c r="GWY79" s="44"/>
      <c r="GWZ79" s="44"/>
      <c r="GXA79" s="44"/>
      <c r="GXB79" s="44"/>
      <c r="GXC79" s="44"/>
      <c r="GXD79" s="44"/>
      <c r="GXE79" s="44"/>
      <c r="GXF79" s="44"/>
      <c r="GXG79" s="44"/>
      <c r="GXH79" s="44"/>
      <c r="GXI79" s="44"/>
      <c r="GXJ79" s="44"/>
      <c r="GXK79" s="44"/>
      <c r="GXL79" s="44"/>
      <c r="GXM79" s="44"/>
      <c r="GXN79" s="44"/>
      <c r="GXO79" s="44"/>
      <c r="GXP79" s="44"/>
      <c r="GXQ79" s="44"/>
      <c r="GXR79" s="44"/>
      <c r="GXS79" s="44"/>
      <c r="GXT79" s="44"/>
      <c r="GXU79" s="44"/>
      <c r="GXV79" s="44"/>
      <c r="GXW79" s="44"/>
      <c r="GXX79" s="44"/>
      <c r="GXY79" s="44"/>
      <c r="GXZ79" s="44"/>
      <c r="GYA79" s="44"/>
      <c r="GYB79" s="44"/>
      <c r="GYC79" s="44"/>
      <c r="GYD79" s="44"/>
      <c r="GYE79" s="44"/>
      <c r="GYF79" s="44"/>
      <c r="GYG79" s="44"/>
      <c r="GYH79" s="44"/>
      <c r="GYI79" s="44"/>
      <c r="GYJ79" s="44"/>
      <c r="GYK79" s="44"/>
      <c r="GYL79" s="44"/>
      <c r="GYM79" s="44"/>
      <c r="GYN79" s="44"/>
      <c r="GYO79" s="44"/>
      <c r="GYP79" s="44"/>
      <c r="GYQ79" s="44"/>
      <c r="GYR79" s="44"/>
      <c r="GYS79" s="44"/>
      <c r="GYT79" s="44"/>
      <c r="GYU79" s="44"/>
      <c r="GYV79" s="44"/>
      <c r="GYW79" s="44"/>
      <c r="GYX79" s="44"/>
      <c r="GYY79" s="44"/>
      <c r="GYZ79" s="44"/>
      <c r="GZA79" s="44"/>
      <c r="GZB79" s="44"/>
      <c r="GZC79" s="44"/>
      <c r="GZD79" s="44"/>
      <c r="GZE79" s="44"/>
      <c r="GZF79" s="44"/>
      <c r="GZG79" s="44"/>
      <c r="GZH79" s="44"/>
      <c r="GZI79" s="44"/>
      <c r="GZJ79" s="44"/>
      <c r="GZK79" s="44"/>
      <c r="GZL79" s="44"/>
      <c r="GZM79" s="44"/>
      <c r="GZN79" s="44"/>
      <c r="GZO79" s="44"/>
      <c r="GZP79" s="44"/>
      <c r="GZQ79" s="44"/>
      <c r="GZR79" s="44"/>
      <c r="GZS79" s="44"/>
      <c r="GZT79" s="44"/>
      <c r="GZU79" s="44"/>
      <c r="GZV79" s="44"/>
      <c r="GZW79" s="44"/>
      <c r="GZX79" s="44"/>
      <c r="GZY79" s="44"/>
      <c r="GZZ79" s="44"/>
      <c r="HAA79" s="44"/>
      <c r="HAB79" s="44"/>
      <c r="HAC79" s="44"/>
      <c r="HAD79" s="44"/>
      <c r="HAE79" s="44"/>
      <c r="HAF79" s="44"/>
      <c r="HAG79" s="44"/>
      <c r="HAH79" s="44"/>
      <c r="HAI79" s="44"/>
      <c r="HAJ79" s="44"/>
      <c r="HAK79" s="44"/>
      <c r="HAL79" s="44"/>
      <c r="HAM79" s="44"/>
      <c r="HAN79" s="44"/>
      <c r="HAO79" s="44"/>
      <c r="HAP79" s="44"/>
      <c r="HAQ79" s="44"/>
      <c r="HAR79" s="44"/>
      <c r="HAS79" s="44"/>
      <c r="HAT79" s="44"/>
      <c r="HAU79" s="44"/>
      <c r="HAV79" s="44"/>
      <c r="HAW79" s="44"/>
      <c r="HAX79" s="44"/>
      <c r="HAY79" s="44"/>
      <c r="HAZ79" s="44"/>
      <c r="HBA79" s="44"/>
      <c r="HBB79" s="44"/>
      <c r="HBC79" s="44"/>
      <c r="HBD79" s="44"/>
      <c r="HBE79" s="44"/>
      <c r="HBF79" s="44"/>
      <c r="HBG79" s="44"/>
      <c r="HBH79" s="44"/>
      <c r="HBI79" s="44"/>
      <c r="HBJ79" s="44"/>
      <c r="HBK79" s="44"/>
      <c r="HBL79" s="44"/>
      <c r="HBM79" s="44"/>
      <c r="HBN79" s="44"/>
      <c r="HBO79" s="44"/>
      <c r="HBP79" s="44"/>
      <c r="HBQ79" s="44"/>
      <c r="HBR79" s="44"/>
      <c r="HBS79" s="44"/>
      <c r="HBT79" s="44"/>
      <c r="HBU79" s="44"/>
      <c r="HBV79" s="44"/>
      <c r="HBW79" s="44"/>
      <c r="HBX79" s="44"/>
      <c r="HBY79" s="44"/>
      <c r="HBZ79" s="44"/>
      <c r="HCA79" s="44"/>
      <c r="HCB79" s="44"/>
      <c r="HCC79" s="44"/>
      <c r="HCD79" s="44"/>
      <c r="HCE79" s="44"/>
      <c r="HCF79" s="44"/>
      <c r="HCG79" s="44"/>
      <c r="HCH79" s="44"/>
      <c r="HCI79" s="44"/>
      <c r="HCJ79" s="44"/>
      <c r="HCK79" s="44"/>
      <c r="HCL79" s="44"/>
      <c r="HCM79" s="44"/>
      <c r="HCN79" s="44"/>
      <c r="HCO79" s="44"/>
      <c r="HCP79" s="44"/>
      <c r="HCQ79" s="44"/>
      <c r="HCR79" s="44"/>
      <c r="HCS79" s="44"/>
      <c r="HCT79" s="44"/>
      <c r="HCU79" s="44"/>
      <c r="HCV79" s="44"/>
      <c r="HCW79" s="44"/>
      <c r="HCX79" s="44"/>
      <c r="HCY79" s="44"/>
      <c r="HCZ79" s="44"/>
      <c r="HDA79" s="44"/>
      <c r="HDB79" s="44"/>
      <c r="HDC79" s="44"/>
      <c r="HDD79" s="44"/>
      <c r="HDE79" s="44"/>
      <c r="HDF79" s="44"/>
      <c r="HDG79" s="44"/>
      <c r="HDH79" s="44"/>
      <c r="HDI79" s="44"/>
      <c r="HDJ79" s="44"/>
      <c r="HDK79" s="44"/>
      <c r="HDL79" s="44"/>
      <c r="HDM79" s="44"/>
      <c r="HDN79" s="44"/>
      <c r="HDO79" s="44"/>
      <c r="HDP79" s="44"/>
      <c r="HDQ79" s="44"/>
      <c r="HDR79" s="44"/>
      <c r="HDS79" s="44"/>
      <c r="HDT79" s="44"/>
      <c r="HDU79" s="44"/>
      <c r="HDV79" s="44"/>
      <c r="HDW79" s="44"/>
      <c r="HDX79" s="44"/>
      <c r="HDY79" s="44"/>
      <c r="HDZ79" s="44"/>
      <c r="HEA79" s="44"/>
      <c r="HEB79" s="44"/>
      <c r="HEC79" s="44"/>
      <c r="HED79" s="44"/>
      <c r="HEE79" s="44"/>
      <c r="HEF79" s="44"/>
      <c r="HEG79" s="44"/>
      <c r="HEH79" s="44"/>
      <c r="HEI79" s="44"/>
      <c r="HEJ79" s="44"/>
      <c r="HEK79" s="44"/>
      <c r="HEL79" s="44"/>
      <c r="HEM79" s="44"/>
      <c r="HEN79" s="44"/>
      <c r="HEO79" s="44"/>
      <c r="HEP79" s="44"/>
      <c r="HEQ79" s="44"/>
      <c r="HER79" s="44"/>
      <c r="HES79" s="44"/>
      <c r="HET79" s="44"/>
      <c r="HEU79" s="44"/>
      <c r="HEV79" s="44"/>
      <c r="HEW79" s="44"/>
      <c r="HEX79" s="44"/>
      <c r="HEY79" s="44"/>
      <c r="HEZ79" s="44"/>
      <c r="HFA79" s="44"/>
      <c r="HFB79" s="44"/>
      <c r="HFC79" s="44"/>
      <c r="HFD79" s="44"/>
      <c r="HFE79" s="44"/>
      <c r="HFF79" s="44"/>
      <c r="HFG79" s="44"/>
      <c r="HFH79" s="44"/>
      <c r="HFI79" s="44"/>
      <c r="HFJ79" s="44"/>
      <c r="HFK79" s="44"/>
      <c r="HFL79" s="44"/>
      <c r="HFM79" s="44"/>
      <c r="HFN79" s="44"/>
      <c r="HFO79" s="44"/>
      <c r="HFP79" s="44"/>
      <c r="HFQ79" s="44"/>
      <c r="HFR79" s="44"/>
      <c r="HFS79" s="44"/>
      <c r="HFT79" s="44"/>
      <c r="HFU79" s="44"/>
      <c r="HFV79" s="44"/>
      <c r="HFW79" s="44"/>
      <c r="HFX79" s="44"/>
      <c r="HFY79" s="44"/>
      <c r="HFZ79" s="44"/>
      <c r="HGA79" s="44"/>
      <c r="HGB79" s="44"/>
      <c r="HGC79" s="44"/>
      <c r="HGD79" s="44"/>
      <c r="HGE79" s="44"/>
      <c r="HGF79" s="44"/>
      <c r="HGG79" s="44"/>
      <c r="HGH79" s="44"/>
      <c r="HGI79" s="44"/>
      <c r="HGJ79" s="44"/>
      <c r="HGK79" s="44"/>
      <c r="HGL79" s="44"/>
      <c r="HGM79" s="44"/>
      <c r="HGN79" s="44"/>
      <c r="HGO79" s="44"/>
      <c r="HGP79" s="44"/>
      <c r="HGQ79" s="44"/>
      <c r="HGR79" s="44"/>
      <c r="HGS79" s="44"/>
      <c r="HGT79" s="44"/>
      <c r="HGU79" s="44"/>
      <c r="HGV79" s="44"/>
      <c r="HGW79" s="44"/>
      <c r="HGX79" s="44"/>
      <c r="HGY79" s="44"/>
      <c r="HGZ79" s="44"/>
      <c r="HHA79" s="44"/>
      <c r="HHB79" s="44"/>
      <c r="HHC79" s="44"/>
      <c r="HHD79" s="44"/>
      <c r="HHE79" s="44"/>
      <c r="HHF79" s="44"/>
      <c r="HHG79" s="44"/>
      <c r="HHH79" s="44"/>
      <c r="HHI79" s="44"/>
      <c r="HHJ79" s="44"/>
      <c r="HHK79" s="44"/>
      <c r="HHL79" s="44"/>
      <c r="HHM79" s="44"/>
      <c r="HHN79" s="44"/>
      <c r="HHO79" s="44"/>
      <c r="HHP79" s="44"/>
      <c r="HHQ79" s="44"/>
      <c r="HHR79" s="44"/>
      <c r="HHS79" s="44"/>
      <c r="HHT79" s="44"/>
      <c r="HHU79" s="44"/>
      <c r="HHV79" s="44"/>
      <c r="HHW79" s="44"/>
      <c r="HHX79" s="44"/>
      <c r="HHY79" s="44"/>
      <c r="HHZ79" s="44"/>
      <c r="HIA79" s="44"/>
      <c r="HIB79" s="44"/>
      <c r="HIC79" s="44"/>
      <c r="HID79" s="44"/>
      <c r="HIE79" s="44"/>
      <c r="HIF79" s="44"/>
      <c r="HIG79" s="44"/>
      <c r="HIH79" s="44"/>
      <c r="HII79" s="44"/>
      <c r="HIJ79" s="44"/>
      <c r="HIK79" s="44"/>
      <c r="HIL79" s="44"/>
      <c r="HIM79" s="44"/>
      <c r="HIN79" s="44"/>
      <c r="HIO79" s="44"/>
      <c r="HIP79" s="44"/>
      <c r="HIQ79" s="44"/>
      <c r="HIR79" s="44"/>
      <c r="HIS79" s="44"/>
      <c r="HIT79" s="44"/>
      <c r="HIU79" s="44"/>
      <c r="HIV79" s="44"/>
      <c r="HIW79" s="44"/>
      <c r="HIX79" s="44"/>
      <c r="HIY79" s="44"/>
      <c r="HIZ79" s="44"/>
      <c r="HJA79" s="44"/>
      <c r="HJB79" s="44"/>
      <c r="HJC79" s="44"/>
      <c r="HJD79" s="44"/>
      <c r="HJE79" s="44"/>
      <c r="HJF79" s="44"/>
      <c r="HJG79" s="44"/>
      <c r="HJH79" s="44"/>
      <c r="HJI79" s="44"/>
      <c r="HJJ79" s="44"/>
      <c r="HJK79" s="44"/>
      <c r="HJL79" s="44"/>
      <c r="HJM79" s="44"/>
      <c r="HJN79" s="44"/>
      <c r="HJO79" s="44"/>
      <c r="HJP79" s="44"/>
      <c r="HJQ79" s="44"/>
      <c r="HJR79" s="44"/>
      <c r="HJS79" s="44"/>
      <c r="HJT79" s="44"/>
      <c r="HJU79" s="44"/>
      <c r="HJV79" s="44"/>
      <c r="HJW79" s="44"/>
      <c r="HJX79" s="44"/>
      <c r="HJY79" s="44"/>
      <c r="HJZ79" s="44"/>
      <c r="HKA79" s="44"/>
      <c r="HKB79" s="44"/>
      <c r="HKC79" s="44"/>
      <c r="HKD79" s="44"/>
      <c r="HKE79" s="44"/>
      <c r="HKF79" s="44"/>
      <c r="HKG79" s="44"/>
      <c r="HKH79" s="44"/>
      <c r="HKI79" s="44"/>
      <c r="HKJ79" s="44"/>
      <c r="HKK79" s="44"/>
      <c r="HKL79" s="44"/>
      <c r="HKM79" s="44"/>
      <c r="HKN79" s="44"/>
      <c r="HKO79" s="44"/>
      <c r="HKP79" s="44"/>
      <c r="HKQ79" s="44"/>
      <c r="HKR79" s="44"/>
      <c r="HKS79" s="44"/>
      <c r="HKT79" s="44"/>
      <c r="HKU79" s="44"/>
      <c r="HKV79" s="44"/>
      <c r="HKW79" s="44"/>
      <c r="HKX79" s="44"/>
      <c r="HKY79" s="44"/>
      <c r="HKZ79" s="44"/>
      <c r="HLA79" s="44"/>
      <c r="HLB79" s="44"/>
      <c r="HLC79" s="44"/>
      <c r="HLD79" s="44"/>
      <c r="HLE79" s="44"/>
      <c r="HLF79" s="44"/>
      <c r="HLG79" s="44"/>
      <c r="HLH79" s="44"/>
      <c r="HLI79" s="44"/>
      <c r="HLJ79" s="44"/>
      <c r="HLK79" s="44"/>
      <c r="HLL79" s="44"/>
      <c r="HLM79" s="44"/>
      <c r="HLN79" s="44"/>
      <c r="HLO79" s="44"/>
      <c r="HLP79" s="44"/>
      <c r="HLQ79" s="44"/>
      <c r="HLR79" s="44"/>
      <c r="HLS79" s="44"/>
      <c r="HLT79" s="44"/>
      <c r="HLU79" s="44"/>
      <c r="HLV79" s="44"/>
      <c r="HLW79" s="44"/>
      <c r="HLX79" s="44"/>
      <c r="HLY79" s="44"/>
      <c r="HLZ79" s="44"/>
      <c r="HMA79" s="44"/>
      <c r="HMB79" s="44"/>
      <c r="HMC79" s="44"/>
      <c r="HMD79" s="44"/>
      <c r="HME79" s="44"/>
      <c r="HMF79" s="44"/>
      <c r="HMG79" s="44"/>
      <c r="HMH79" s="44"/>
      <c r="HMI79" s="44"/>
      <c r="HMJ79" s="44"/>
      <c r="HMK79" s="44"/>
      <c r="HML79" s="44"/>
      <c r="HMM79" s="44"/>
      <c r="HMN79" s="44"/>
      <c r="HMO79" s="44"/>
      <c r="HMP79" s="44"/>
      <c r="HMQ79" s="44"/>
      <c r="HMR79" s="44"/>
      <c r="HMS79" s="44"/>
      <c r="HMT79" s="44"/>
      <c r="HMU79" s="44"/>
      <c r="HMV79" s="44"/>
      <c r="HMW79" s="44"/>
      <c r="HMX79" s="44"/>
      <c r="HMY79" s="44"/>
      <c r="HMZ79" s="44"/>
      <c r="HNA79" s="44"/>
      <c r="HNB79" s="44"/>
      <c r="HNC79" s="44"/>
      <c r="HND79" s="44"/>
      <c r="HNE79" s="44"/>
      <c r="HNF79" s="44"/>
      <c r="HNG79" s="44"/>
      <c r="HNH79" s="44"/>
      <c r="HNI79" s="44"/>
      <c r="HNJ79" s="44"/>
      <c r="HNK79" s="44"/>
      <c r="HNL79" s="44"/>
      <c r="HNM79" s="44"/>
      <c r="HNN79" s="44"/>
      <c r="HNO79" s="44"/>
      <c r="HNP79" s="44"/>
      <c r="HNQ79" s="44"/>
      <c r="HNR79" s="44"/>
      <c r="HNS79" s="44"/>
      <c r="HNT79" s="44"/>
      <c r="HNU79" s="44"/>
      <c r="HNV79" s="44"/>
      <c r="HNW79" s="44"/>
      <c r="HNX79" s="44"/>
      <c r="HNY79" s="44"/>
      <c r="HNZ79" s="44"/>
      <c r="HOA79" s="44"/>
      <c r="HOB79" s="44"/>
      <c r="HOC79" s="44"/>
      <c r="HOD79" s="44"/>
      <c r="HOE79" s="44"/>
      <c r="HOF79" s="44"/>
      <c r="HOG79" s="44"/>
      <c r="HOH79" s="44"/>
      <c r="HOI79" s="44"/>
      <c r="HOJ79" s="44"/>
      <c r="HOK79" s="44"/>
      <c r="HOL79" s="44"/>
      <c r="HOM79" s="44"/>
      <c r="HON79" s="44"/>
      <c r="HOO79" s="44"/>
      <c r="HOP79" s="44"/>
      <c r="HOQ79" s="44"/>
      <c r="HOR79" s="44"/>
      <c r="HOS79" s="44"/>
      <c r="HOT79" s="44"/>
      <c r="HOU79" s="44"/>
      <c r="HOV79" s="44"/>
      <c r="HOW79" s="44"/>
      <c r="HOX79" s="44"/>
      <c r="HOY79" s="44"/>
      <c r="HOZ79" s="44"/>
      <c r="HPA79" s="44"/>
      <c r="HPB79" s="44"/>
      <c r="HPC79" s="44"/>
      <c r="HPD79" s="44"/>
      <c r="HPE79" s="44"/>
      <c r="HPF79" s="44"/>
      <c r="HPG79" s="44"/>
      <c r="HPH79" s="44"/>
      <c r="HPI79" s="44"/>
      <c r="HPJ79" s="44"/>
      <c r="HPK79" s="44"/>
      <c r="HPL79" s="44"/>
      <c r="HPM79" s="44"/>
      <c r="HPN79" s="44"/>
      <c r="HPO79" s="44"/>
      <c r="HPP79" s="44"/>
      <c r="HPQ79" s="44"/>
      <c r="HPR79" s="44"/>
      <c r="HPS79" s="44"/>
      <c r="HPT79" s="44"/>
      <c r="HPU79" s="44"/>
      <c r="HPV79" s="44"/>
      <c r="HPW79" s="44"/>
      <c r="HPX79" s="44"/>
      <c r="HPY79" s="44"/>
      <c r="HPZ79" s="44"/>
      <c r="HQA79" s="44"/>
      <c r="HQB79" s="44"/>
      <c r="HQC79" s="44"/>
      <c r="HQD79" s="44"/>
      <c r="HQE79" s="44"/>
      <c r="HQF79" s="44"/>
      <c r="HQG79" s="44"/>
      <c r="HQH79" s="44"/>
      <c r="HQI79" s="44"/>
      <c r="HQJ79" s="44"/>
      <c r="HQK79" s="44"/>
      <c r="HQL79" s="44"/>
      <c r="HQM79" s="44"/>
      <c r="HQN79" s="44"/>
      <c r="HQO79" s="44"/>
      <c r="HQP79" s="44"/>
      <c r="HQQ79" s="44"/>
      <c r="HQR79" s="44"/>
      <c r="HQS79" s="44"/>
      <c r="HQT79" s="44"/>
      <c r="HQU79" s="44"/>
      <c r="HQV79" s="44"/>
      <c r="HQW79" s="44"/>
      <c r="HQX79" s="44"/>
      <c r="HQY79" s="44"/>
      <c r="HQZ79" s="44"/>
      <c r="HRA79" s="44"/>
      <c r="HRB79" s="44"/>
      <c r="HRC79" s="44"/>
      <c r="HRD79" s="44"/>
      <c r="HRE79" s="44"/>
      <c r="HRF79" s="44"/>
      <c r="HRG79" s="44"/>
      <c r="HRH79" s="44"/>
      <c r="HRI79" s="44"/>
      <c r="HRJ79" s="44"/>
      <c r="HRK79" s="44"/>
      <c r="HRL79" s="44"/>
      <c r="HRM79" s="44"/>
      <c r="HRN79" s="44"/>
      <c r="HRO79" s="44"/>
      <c r="HRP79" s="44"/>
      <c r="HRQ79" s="44"/>
      <c r="HRR79" s="44"/>
      <c r="HRS79" s="44"/>
      <c r="HRT79" s="44"/>
      <c r="HRU79" s="44"/>
      <c r="HRV79" s="44"/>
      <c r="HRW79" s="44"/>
      <c r="HRX79" s="44"/>
      <c r="HRY79" s="44"/>
      <c r="HRZ79" s="44"/>
      <c r="HSA79" s="44"/>
      <c r="HSB79" s="44"/>
      <c r="HSC79" s="44"/>
      <c r="HSD79" s="44"/>
      <c r="HSE79" s="44"/>
      <c r="HSF79" s="44"/>
      <c r="HSG79" s="44"/>
      <c r="HSH79" s="44"/>
      <c r="HSI79" s="44"/>
      <c r="HSJ79" s="44"/>
      <c r="HSK79" s="44"/>
      <c r="HSL79" s="44"/>
      <c r="HSM79" s="44"/>
      <c r="HSN79" s="44"/>
      <c r="HSO79" s="44"/>
      <c r="HSP79" s="44"/>
      <c r="HSQ79" s="44"/>
      <c r="HSR79" s="44"/>
      <c r="HSS79" s="44"/>
      <c r="HST79" s="44"/>
      <c r="HSU79" s="44"/>
      <c r="HSV79" s="44"/>
      <c r="HSW79" s="44"/>
      <c r="HSX79" s="44"/>
      <c r="HSY79" s="44"/>
      <c r="HSZ79" s="44"/>
      <c r="HTA79" s="44"/>
      <c r="HTB79" s="44"/>
      <c r="HTC79" s="44"/>
      <c r="HTD79" s="44"/>
      <c r="HTE79" s="44"/>
      <c r="HTF79" s="44"/>
      <c r="HTG79" s="44"/>
      <c r="HTH79" s="44"/>
      <c r="HTI79" s="44"/>
      <c r="HTJ79" s="44"/>
      <c r="HTK79" s="44"/>
      <c r="HTL79" s="44"/>
      <c r="HTM79" s="44"/>
      <c r="HTN79" s="44"/>
      <c r="HTO79" s="44"/>
      <c r="HTP79" s="44"/>
      <c r="HTQ79" s="44"/>
      <c r="HTR79" s="44"/>
      <c r="HTS79" s="44"/>
      <c r="HTT79" s="44"/>
      <c r="HTU79" s="44"/>
      <c r="HTV79" s="44"/>
      <c r="HTW79" s="44"/>
      <c r="HTX79" s="44"/>
      <c r="HTY79" s="44"/>
      <c r="HTZ79" s="44"/>
      <c r="HUA79" s="44"/>
      <c r="HUB79" s="44"/>
      <c r="HUC79" s="44"/>
      <c r="HUD79" s="44"/>
      <c r="HUE79" s="44"/>
      <c r="HUF79" s="44"/>
      <c r="HUG79" s="44"/>
      <c r="HUH79" s="44"/>
      <c r="HUI79" s="44"/>
      <c r="HUJ79" s="44"/>
      <c r="HUK79" s="44"/>
      <c r="HUL79" s="44"/>
      <c r="HUM79" s="44"/>
      <c r="HUN79" s="44"/>
      <c r="HUO79" s="44"/>
      <c r="HUP79" s="44"/>
      <c r="HUQ79" s="44"/>
      <c r="HUR79" s="44"/>
      <c r="HUS79" s="44"/>
      <c r="HUT79" s="44"/>
      <c r="HUU79" s="44"/>
      <c r="HUV79" s="44"/>
      <c r="HUW79" s="44"/>
      <c r="HUX79" s="44"/>
      <c r="HUY79" s="44"/>
      <c r="HUZ79" s="44"/>
      <c r="HVA79" s="44"/>
      <c r="HVB79" s="44"/>
      <c r="HVC79" s="44"/>
      <c r="HVD79" s="44"/>
      <c r="HVE79" s="44"/>
      <c r="HVF79" s="44"/>
      <c r="HVG79" s="44"/>
      <c r="HVH79" s="44"/>
      <c r="HVI79" s="44"/>
      <c r="HVJ79" s="44"/>
      <c r="HVK79" s="44"/>
      <c r="HVL79" s="44"/>
      <c r="HVM79" s="44"/>
      <c r="HVN79" s="44"/>
      <c r="HVO79" s="44"/>
      <c r="HVP79" s="44"/>
      <c r="HVQ79" s="44"/>
      <c r="HVR79" s="44"/>
      <c r="HVS79" s="44"/>
      <c r="HVT79" s="44"/>
      <c r="HVU79" s="44"/>
      <c r="HVV79" s="44"/>
      <c r="HVW79" s="44"/>
      <c r="HVX79" s="44"/>
      <c r="HVY79" s="44"/>
      <c r="HVZ79" s="44"/>
      <c r="HWA79" s="44"/>
      <c r="HWB79" s="44"/>
      <c r="HWC79" s="44"/>
      <c r="HWD79" s="44"/>
      <c r="HWE79" s="44"/>
      <c r="HWF79" s="44"/>
      <c r="HWG79" s="44"/>
      <c r="HWH79" s="44"/>
      <c r="HWI79" s="44"/>
      <c r="HWJ79" s="44"/>
      <c r="HWK79" s="44"/>
      <c r="HWL79" s="44"/>
      <c r="HWM79" s="44"/>
      <c r="HWN79" s="44"/>
      <c r="HWO79" s="44"/>
      <c r="HWP79" s="44"/>
      <c r="HWQ79" s="44"/>
      <c r="HWR79" s="44"/>
      <c r="HWS79" s="44"/>
      <c r="HWT79" s="44"/>
      <c r="HWU79" s="44"/>
      <c r="HWV79" s="44"/>
      <c r="HWW79" s="44"/>
      <c r="HWX79" s="44"/>
      <c r="HWY79" s="44"/>
      <c r="HWZ79" s="44"/>
      <c r="HXA79" s="44"/>
      <c r="HXB79" s="44"/>
      <c r="HXC79" s="44"/>
      <c r="HXD79" s="44"/>
      <c r="HXE79" s="44"/>
      <c r="HXF79" s="44"/>
      <c r="HXG79" s="44"/>
      <c r="HXH79" s="44"/>
      <c r="HXI79" s="44"/>
      <c r="HXJ79" s="44"/>
      <c r="HXK79" s="44"/>
      <c r="HXL79" s="44"/>
      <c r="HXM79" s="44"/>
      <c r="HXN79" s="44"/>
      <c r="HXO79" s="44"/>
      <c r="HXP79" s="44"/>
      <c r="HXQ79" s="44"/>
      <c r="HXR79" s="44"/>
      <c r="HXS79" s="44"/>
      <c r="HXT79" s="44"/>
      <c r="HXU79" s="44"/>
      <c r="HXV79" s="44"/>
      <c r="HXW79" s="44"/>
      <c r="HXX79" s="44"/>
      <c r="HXY79" s="44"/>
      <c r="HXZ79" s="44"/>
      <c r="HYA79" s="44"/>
      <c r="HYB79" s="44"/>
      <c r="HYC79" s="44"/>
      <c r="HYD79" s="44"/>
      <c r="HYE79" s="44"/>
      <c r="HYF79" s="44"/>
      <c r="HYG79" s="44"/>
      <c r="HYH79" s="44"/>
      <c r="HYI79" s="44"/>
      <c r="HYJ79" s="44"/>
      <c r="HYK79" s="44"/>
      <c r="HYL79" s="44"/>
      <c r="HYM79" s="44"/>
      <c r="HYN79" s="44"/>
      <c r="HYO79" s="44"/>
      <c r="HYP79" s="44"/>
      <c r="HYQ79" s="44"/>
      <c r="HYR79" s="44"/>
      <c r="HYS79" s="44"/>
      <c r="HYT79" s="44"/>
      <c r="HYU79" s="44"/>
      <c r="HYV79" s="44"/>
      <c r="HYW79" s="44"/>
      <c r="HYX79" s="44"/>
      <c r="HYY79" s="44"/>
      <c r="HYZ79" s="44"/>
      <c r="HZA79" s="44"/>
      <c r="HZB79" s="44"/>
      <c r="HZC79" s="44"/>
      <c r="HZD79" s="44"/>
      <c r="HZE79" s="44"/>
      <c r="HZF79" s="44"/>
      <c r="HZG79" s="44"/>
      <c r="HZH79" s="44"/>
      <c r="HZI79" s="44"/>
      <c r="HZJ79" s="44"/>
      <c r="HZK79" s="44"/>
      <c r="HZL79" s="44"/>
      <c r="HZM79" s="44"/>
      <c r="HZN79" s="44"/>
      <c r="HZO79" s="44"/>
      <c r="HZP79" s="44"/>
      <c r="HZQ79" s="44"/>
      <c r="HZR79" s="44"/>
      <c r="HZS79" s="44"/>
      <c r="HZT79" s="44"/>
      <c r="HZU79" s="44"/>
      <c r="HZV79" s="44"/>
      <c r="HZW79" s="44"/>
      <c r="HZX79" s="44"/>
      <c r="HZY79" s="44"/>
      <c r="HZZ79" s="44"/>
      <c r="IAA79" s="44"/>
      <c r="IAB79" s="44"/>
      <c r="IAC79" s="44"/>
      <c r="IAD79" s="44"/>
      <c r="IAE79" s="44"/>
      <c r="IAF79" s="44"/>
      <c r="IAG79" s="44"/>
      <c r="IAH79" s="44"/>
      <c r="IAI79" s="44"/>
      <c r="IAJ79" s="44"/>
      <c r="IAK79" s="44"/>
      <c r="IAL79" s="44"/>
      <c r="IAM79" s="44"/>
      <c r="IAN79" s="44"/>
      <c r="IAO79" s="44"/>
      <c r="IAP79" s="44"/>
      <c r="IAQ79" s="44"/>
      <c r="IAR79" s="44"/>
      <c r="IAS79" s="44"/>
      <c r="IAT79" s="44"/>
      <c r="IAU79" s="44"/>
      <c r="IAV79" s="44"/>
      <c r="IAW79" s="44"/>
      <c r="IAX79" s="44"/>
      <c r="IAY79" s="44"/>
      <c r="IAZ79" s="44"/>
      <c r="IBA79" s="44"/>
      <c r="IBB79" s="44"/>
      <c r="IBC79" s="44"/>
      <c r="IBD79" s="44"/>
      <c r="IBE79" s="44"/>
      <c r="IBF79" s="44"/>
      <c r="IBG79" s="44"/>
      <c r="IBH79" s="44"/>
      <c r="IBI79" s="44"/>
      <c r="IBJ79" s="44"/>
      <c r="IBK79" s="44"/>
      <c r="IBL79" s="44"/>
      <c r="IBM79" s="44"/>
      <c r="IBN79" s="44"/>
      <c r="IBO79" s="44"/>
      <c r="IBP79" s="44"/>
      <c r="IBQ79" s="44"/>
      <c r="IBR79" s="44"/>
      <c r="IBS79" s="44"/>
      <c r="IBT79" s="44"/>
      <c r="IBU79" s="44"/>
      <c r="IBV79" s="44"/>
      <c r="IBW79" s="44"/>
      <c r="IBX79" s="44"/>
      <c r="IBY79" s="44"/>
      <c r="IBZ79" s="44"/>
      <c r="ICA79" s="44"/>
      <c r="ICB79" s="44"/>
      <c r="ICC79" s="44"/>
      <c r="ICD79" s="44"/>
      <c r="ICE79" s="44"/>
      <c r="ICF79" s="44"/>
      <c r="ICG79" s="44"/>
      <c r="ICH79" s="44"/>
      <c r="ICI79" s="44"/>
      <c r="ICJ79" s="44"/>
      <c r="ICK79" s="44"/>
      <c r="ICL79" s="44"/>
      <c r="ICM79" s="44"/>
      <c r="ICN79" s="44"/>
      <c r="ICO79" s="44"/>
      <c r="ICP79" s="44"/>
      <c r="ICQ79" s="44"/>
      <c r="ICR79" s="44"/>
      <c r="ICS79" s="44"/>
      <c r="ICT79" s="44"/>
      <c r="ICU79" s="44"/>
      <c r="ICV79" s="44"/>
      <c r="ICW79" s="44"/>
      <c r="ICX79" s="44"/>
      <c r="ICY79" s="44"/>
      <c r="ICZ79" s="44"/>
      <c r="IDA79" s="44"/>
      <c r="IDB79" s="44"/>
      <c r="IDC79" s="44"/>
      <c r="IDD79" s="44"/>
      <c r="IDE79" s="44"/>
      <c r="IDF79" s="44"/>
      <c r="IDG79" s="44"/>
      <c r="IDH79" s="44"/>
      <c r="IDI79" s="44"/>
      <c r="IDJ79" s="44"/>
      <c r="IDK79" s="44"/>
      <c r="IDL79" s="44"/>
      <c r="IDM79" s="44"/>
      <c r="IDN79" s="44"/>
      <c r="IDO79" s="44"/>
      <c r="IDP79" s="44"/>
      <c r="IDQ79" s="44"/>
      <c r="IDR79" s="44"/>
      <c r="IDS79" s="44"/>
      <c r="IDT79" s="44"/>
      <c r="IDU79" s="44"/>
      <c r="IDV79" s="44"/>
      <c r="IDW79" s="44"/>
      <c r="IDX79" s="44"/>
      <c r="IDY79" s="44"/>
      <c r="IDZ79" s="44"/>
      <c r="IEA79" s="44"/>
      <c r="IEB79" s="44"/>
      <c r="IEC79" s="44"/>
      <c r="IED79" s="44"/>
      <c r="IEE79" s="44"/>
      <c r="IEF79" s="44"/>
      <c r="IEG79" s="44"/>
      <c r="IEH79" s="44"/>
      <c r="IEI79" s="44"/>
      <c r="IEJ79" s="44"/>
      <c r="IEK79" s="44"/>
      <c r="IEL79" s="44"/>
      <c r="IEM79" s="44"/>
      <c r="IEN79" s="44"/>
      <c r="IEO79" s="44"/>
      <c r="IEP79" s="44"/>
      <c r="IEQ79" s="44"/>
      <c r="IER79" s="44"/>
      <c r="IES79" s="44"/>
      <c r="IET79" s="44"/>
      <c r="IEU79" s="44"/>
      <c r="IEV79" s="44"/>
      <c r="IEW79" s="44"/>
      <c r="IEX79" s="44"/>
      <c r="IEY79" s="44"/>
      <c r="IEZ79" s="44"/>
      <c r="IFA79" s="44"/>
      <c r="IFB79" s="44"/>
      <c r="IFC79" s="44"/>
      <c r="IFD79" s="44"/>
      <c r="IFE79" s="44"/>
      <c r="IFF79" s="44"/>
      <c r="IFG79" s="44"/>
      <c r="IFH79" s="44"/>
      <c r="IFI79" s="44"/>
      <c r="IFJ79" s="44"/>
      <c r="IFK79" s="44"/>
      <c r="IFL79" s="44"/>
      <c r="IFM79" s="44"/>
      <c r="IFN79" s="44"/>
      <c r="IFO79" s="44"/>
      <c r="IFP79" s="44"/>
      <c r="IFQ79" s="44"/>
      <c r="IFR79" s="44"/>
      <c r="IFS79" s="44"/>
      <c r="IFT79" s="44"/>
      <c r="IFU79" s="44"/>
      <c r="IFV79" s="44"/>
      <c r="IFW79" s="44"/>
      <c r="IFX79" s="44"/>
      <c r="IFY79" s="44"/>
      <c r="IFZ79" s="44"/>
      <c r="IGA79" s="44"/>
      <c r="IGB79" s="44"/>
      <c r="IGC79" s="44"/>
      <c r="IGD79" s="44"/>
      <c r="IGE79" s="44"/>
      <c r="IGF79" s="44"/>
      <c r="IGG79" s="44"/>
      <c r="IGH79" s="44"/>
      <c r="IGI79" s="44"/>
      <c r="IGJ79" s="44"/>
      <c r="IGK79" s="44"/>
      <c r="IGL79" s="44"/>
      <c r="IGM79" s="44"/>
      <c r="IGN79" s="44"/>
      <c r="IGO79" s="44"/>
      <c r="IGP79" s="44"/>
      <c r="IGQ79" s="44"/>
      <c r="IGR79" s="44"/>
      <c r="IGS79" s="44"/>
      <c r="IGT79" s="44"/>
      <c r="IGU79" s="44"/>
      <c r="IGV79" s="44"/>
      <c r="IGW79" s="44"/>
      <c r="IGX79" s="44"/>
      <c r="IGY79" s="44"/>
      <c r="IGZ79" s="44"/>
      <c r="IHA79" s="44"/>
      <c r="IHB79" s="44"/>
      <c r="IHC79" s="44"/>
      <c r="IHD79" s="44"/>
      <c r="IHE79" s="44"/>
      <c r="IHF79" s="44"/>
      <c r="IHG79" s="44"/>
      <c r="IHH79" s="44"/>
      <c r="IHI79" s="44"/>
      <c r="IHJ79" s="44"/>
      <c r="IHK79" s="44"/>
      <c r="IHL79" s="44"/>
      <c r="IHM79" s="44"/>
      <c r="IHN79" s="44"/>
      <c r="IHO79" s="44"/>
      <c r="IHP79" s="44"/>
      <c r="IHQ79" s="44"/>
      <c r="IHR79" s="44"/>
      <c r="IHS79" s="44"/>
      <c r="IHT79" s="44"/>
      <c r="IHU79" s="44"/>
      <c r="IHV79" s="44"/>
      <c r="IHW79" s="44"/>
      <c r="IHX79" s="44"/>
      <c r="IHY79" s="44"/>
      <c r="IHZ79" s="44"/>
      <c r="IIA79" s="44"/>
      <c r="IIB79" s="44"/>
      <c r="IIC79" s="44"/>
      <c r="IID79" s="44"/>
      <c r="IIE79" s="44"/>
      <c r="IIF79" s="44"/>
      <c r="IIG79" s="44"/>
      <c r="IIH79" s="44"/>
      <c r="III79" s="44"/>
      <c r="IIJ79" s="44"/>
      <c r="IIK79" s="44"/>
      <c r="IIL79" s="44"/>
      <c r="IIM79" s="44"/>
      <c r="IIN79" s="44"/>
      <c r="IIO79" s="44"/>
      <c r="IIP79" s="44"/>
      <c r="IIQ79" s="44"/>
      <c r="IIR79" s="44"/>
      <c r="IIS79" s="44"/>
      <c r="IIT79" s="44"/>
      <c r="IIU79" s="44"/>
      <c r="IIV79" s="44"/>
      <c r="IIW79" s="44"/>
      <c r="IIX79" s="44"/>
      <c r="IIY79" s="44"/>
      <c r="IIZ79" s="44"/>
      <c r="IJA79" s="44"/>
      <c r="IJB79" s="44"/>
      <c r="IJC79" s="44"/>
      <c r="IJD79" s="44"/>
      <c r="IJE79" s="44"/>
      <c r="IJF79" s="44"/>
      <c r="IJG79" s="44"/>
      <c r="IJH79" s="44"/>
      <c r="IJI79" s="44"/>
      <c r="IJJ79" s="44"/>
      <c r="IJK79" s="44"/>
      <c r="IJL79" s="44"/>
      <c r="IJM79" s="44"/>
      <c r="IJN79" s="44"/>
      <c r="IJO79" s="44"/>
      <c r="IJP79" s="44"/>
      <c r="IJQ79" s="44"/>
      <c r="IJR79" s="44"/>
      <c r="IJS79" s="44"/>
      <c r="IJT79" s="44"/>
      <c r="IJU79" s="44"/>
      <c r="IJV79" s="44"/>
      <c r="IJW79" s="44"/>
      <c r="IJX79" s="44"/>
      <c r="IJY79" s="44"/>
      <c r="IJZ79" s="44"/>
      <c r="IKA79" s="44"/>
      <c r="IKB79" s="44"/>
      <c r="IKC79" s="44"/>
      <c r="IKD79" s="44"/>
      <c r="IKE79" s="44"/>
      <c r="IKF79" s="44"/>
      <c r="IKG79" s="44"/>
      <c r="IKH79" s="44"/>
      <c r="IKI79" s="44"/>
      <c r="IKJ79" s="44"/>
      <c r="IKK79" s="44"/>
      <c r="IKL79" s="44"/>
      <c r="IKM79" s="44"/>
      <c r="IKN79" s="44"/>
      <c r="IKO79" s="44"/>
      <c r="IKP79" s="44"/>
      <c r="IKQ79" s="44"/>
      <c r="IKR79" s="44"/>
      <c r="IKS79" s="44"/>
      <c r="IKT79" s="44"/>
      <c r="IKU79" s="44"/>
      <c r="IKV79" s="44"/>
      <c r="IKW79" s="44"/>
      <c r="IKX79" s="44"/>
      <c r="IKY79" s="44"/>
      <c r="IKZ79" s="44"/>
      <c r="ILA79" s="44"/>
      <c r="ILB79" s="44"/>
      <c r="ILC79" s="44"/>
      <c r="ILD79" s="44"/>
      <c r="ILE79" s="44"/>
      <c r="ILF79" s="44"/>
      <c r="ILG79" s="44"/>
      <c r="ILH79" s="44"/>
      <c r="ILI79" s="44"/>
      <c r="ILJ79" s="44"/>
      <c r="ILK79" s="44"/>
      <c r="ILL79" s="44"/>
      <c r="ILM79" s="44"/>
      <c r="ILN79" s="44"/>
      <c r="ILO79" s="44"/>
      <c r="ILP79" s="44"/>
      <c r="ILQ79" s="44"/>
      <c r="ILR79" s="44"/>
      <c r="ILS79" s="44"/>
      <c r="ILT79" s="44"/>
      <c r="ILU79" s="44"/>
      <c r="ILV79" s="44"/>
      <c r="ILW79" s="44"/>
      <c r="ILX79" s="44"/>
      <c r="ILY79" s="44"/>
      <c r="ILZ79" s="44"/>
      <c r="IMA79" s="44"/>
      <c r="IMB79" s="44"/>
      <c r="IMC79" s="44"/>
      <c r="IMD79" s="44"/>
      <c r="IME79" s="44"/>
      <c r="IMF79" s="44"/>
      <c r="IMG79" s="44"/>
      <c r="IMH79" s="44"/>
      <c r="IMI79" s="44"/>
      <c r="IMJ79" s="44"/>
      <c r="IMK79" s="44"/>
      <c r="IML79" s="44"/>
      <c r="IMM79" s="44"/>
      <c r="IMN79" s="44"/>
      <c r="IMO79" s="44"/>
      <c r="IMP79" s="44"/>
      <c r="IMQ79" s="44"/>
      <c r="IMR79" s="44"/>
      <c r="IMS79" s="44"/>
      <c r="IMT79" s="44"/>
      <c r="IMU79" s="44"/>
      <c r="IMV79" s="44"/>
      <c r="IMW79" s="44"/>
      <c r="IMX79" s="44"/>
      <c r="IMY79" s="44"/>
      <c r="IMZ79" s="44"/>
      <c r="INA79" s="44"/>
      <c r="INB79" s="44"/>
      <c r="INC79" s="44"/>
      <c r="IND79" s="44"/>
      <c r="INE79" s="44"/>
      <c r="INF79" s="44"/>
      <c r="ING79" s="44"/>
      <c r="INH79" s="44"/>
      <c r="INI79" s="44"/>
      <c r="INJ79" s="44"/>
      <c r="INK79" s="44"/>
      <c r="INL79" s="44"/>
      <c r="INM79" s="44"/>
      <c r="INN79" s="44"/>
      <c r="INO79" s="44"/>
      <c r="INP79" s="44"/>
      <c r="INQ79" s="44"/>
      <c r="INR79" s="44"/>
      <c r="INS79" s="44"/>
      <c r="INT79" s="44"/>
      <c r="INU79" s="44"/>
      <c r="INV79" s="44"/>
      <c r="INW79" s="44"/>
      <c r="INX79" s="44"/>
      <c r="INY79" s="44"/>
      <c r="INZ79" s="44"/>
      <c r="IOA79" s="44"/>
      <c r="IOB79" s="44"/>
      <c r="IOC79" s="44"/>
      <c r="IOD79" s="44"/>
      <c r="IOE79" s="44"/>
      <c r="IOF79" s="44"/>
      <c r="IOG79" s="44"/>
      <c r="IOH79" s="44"/>
      <c r="IOI79" s="44"/>
      <c r="IOJ79" s="44"/>
      <c r="IOK79" s="44"/>
      <c r="IOL79" s="44"/>
      <c r="IOM79" s="44"/>
      <c r="ION79" s="44"/>
      <c r="IOO79" s="44"/>
      <c r="IOP79" s="44"/>
      <c r="IOQ79" s="44"/>
      <c r="IOR79" s="44"/>
      <c r="IOS79" s="44"/>
      <c r="IOT79" s="44"/>
      <c r="IOU79" s="44"/>
      <c r="IOV79" s="44"/>
      <c r="IOW79" s="44"/>
      <c r="IOX79" s="44"/>
      <c r="IOY79" s="44"/>
      <c r="IOZ79" s="44"/>
      <c r="IPA79" s="44"/>
      <c r="IPB79" s="44"/>
      <c r="IPC79" s="44"/>
      <c r="IPD79" s="44"/>
      <c r="IPE79" s="44"/>
      <c r="IPF79" s="44"/>
      <c r="IPG79" s="44"/>
      <c r="IPH79" s="44"/>
      <c r="IPI79" s="44"/>
      <c r="IPJ79" s="44"/>
      <c r="IPK79" s="44"/>
      <c r="IPL79" s="44"/>
      <c r="IPM79" s="44"/>
      <c r="IPN79" s="44"/>
      <c r="IPO79" s="44"/>
      <c r="IPP79" s="44"/>
      <c r="IPQ79" s="44"/>
      <c r="IPR79" s="44"/>
      <c r="IPS79" s="44"/>
      <c r="IPT79" s="44"/>
      <c r="IPU79" s="44"/>
      <c r="IPV79" s="44"/>
      <c r="IPW79" s="44"/>
      <c r="IPX79" s="44"/>
      <c r="IPY79" s="44"/>
      <c r="IPZ79" s="44"/>
      <c r="IQA79" s="44"/>
      <c r="IQB79" s="44"/>
      <c r="IQC79" s="44"/>
      <c r="IQD79" s="44"/>
      <c r="IQE79" s="44"/>
      <c r="IQF79" s="44"/>
      <c r="IQG79" s="44"/>
      <c r="IQH79" s="44"/>
      <c r="IQI79" s="44"/>
      <c r="IQJ79" s="44"/>
      <c r="IQK79" s="44"/>
      <c r="IQL79" s="44"/>
      <c r="IQM79" s="44"/>
      <c r="IQN79" s="44"/>
      <c r="IQO79" s="44"/>
      <c r="IQP79" s="44"/>
      <c r="IQQ79" s="44"/>
      <c r="IQR79" s="44"/>
      <c r="IQS79" s="44"/>
      <c r="IQT79" s="44"/>
      <c r="IQU79" s="44"/>
      <c r="IQV79" s="44"/>
      <c r="IQW79" s="44"/>
      <c r="IQX79" s="44"/>
      <c r="IQY79" s="44"/>
      <c r="IQZ79" s="44"/>
      <c r="IRA79" s="44"/>
      <c r="IRB79" s="44"/>
      <c r="IRC79" s="44"/>
      <c r="IRD79" s="44"/>
      <c r="IRE79" s="44"/>
      <c r="IRF79" s="44"/>
      <c r="IRG79" s="44"/>
      <c r="IRH79" s="44"/>
      <c r="IRI79" s="44"/>
      <c r="IRJ79" s="44"/>
      <c r="IRK79" s="44"/>
      <c r="IRL79" s="44"/>
      <c r="IRM79" s="44"/>
      <c r="IRN79" s="44"/>
      <c r="IRO79" s="44"/>
      <c r="IRP79" s="44"/>
      <c r="IRQ79" s="44"/>
      <c r="IRR79" s="44"/>
      <c r="IRS79" s="44"/>
      <c r="IRT79" s="44"/>
      <c r="IRU79" s="44"/>
      <c r="IRV79" s="44"/>
      <c r="IRW79" s="44"/>
      <c r="IRX79" s="44"/>
      <c r="IRY79" s="44"/>
      <c r="IRZ79" s="44"/>
      <c r="ISA79" s="44"/>
      <c r="ISB79" s="44"/>
      <c r="ISC79" s="44"/>
      <c r="ISD79" s="44"/>
      <c r="ISE79" s="44"/>
      <c r="ISF79" s="44"/>
      <c r="ISG79" s="44"/>
      <c r="ISH79" s="44"/>
      <c r="ISI79" s="44"/>
      <c r="ISJ79" s="44"/>
      <c r="ISK79" s="44"/>
      <c r="ISL79" s="44"/>
      <c r="ISM79" s="44"/>
      <c r="ISN79" s="44"/>
      <c r="ISO79" s="44"/>
      <c r="ISP79" s="44"/>
      <c r="ISQ79" s="44"/>
      <c r="ISR79" s="44"/>
      <c r="ISS79" s="44"/>
      <c r="IST79" s="44"/>
      <c r="ISU79" s="44"/>
      <c r="ISV79" s="44"/>
      <c r="ISW79" s="44"/>
      <c r="ISX79" s="44"/>
      <c r="ISY79" s="44"/>
      <c r="ISZ79" s="44"/>
      <c r="ITA79" s="44"/>
      <c r="ITB79" s="44"/>
      <c r="ITC79" s="44"/>
      <c r="ITD79" s="44"/>
      <c r="ITE79" s="44"/>
      <c r="ITF79" s="44"/>
      <c r="ITG79" s="44"/>
      <c r="ITH79" s="44"/>
      <c r="ITI79" s="44"/>
      <c r="ITJ79" s="44"/>
      <c r="ITK79" s="44"/>
      <c r="ITL79" s="44"/>
      <c r="ITM79" s="44"/>
      <c r="ITN79" s="44"/>
      <c r="ITO79" s="44"/>
      <c r="ITP79" s="44"/>
      <c r="ITQ79" s="44"/>
      <c r="ITR79" s="44"/>
      <c r="ITS79" s="44"/>
      <c r="ITT79" s="44"/>
      <c r="ITU79" s="44"/>
      <c r="ITV79" s="44"/>
      <c r="ITW79" s="44"/>
      <c r="ITX79" s="44"/>
      <c r="ITY79" s="44"/>
      <c r="ITZ79" s="44"/>
      <c r="IUA79" s="44"/>
      <c r="IUB79" s="44"/>
      <c r="IUC79" s="44"/>
      <c r="IUD79" s="44"/>
      <c r="IUE79" s="44"/>
      <c r="IUF79" s="44"/>
      <c r="IUG79" s="44"/>
      <c r="IUH79" s="44"/>
      <c r="IUI79" s="44"/>
      <c r="IUJ79" s="44"/>
      <c r="IUK79" s="44"/>
      <c r="IUL79" s="44"/>
      <c r="IUM79" s="44"/>
      <c r="IUN79" s="44"/>
      <c r="IUO79" s="44"/>
      <c r="IUP79" s="44"/>
      <c r="IUQ79" s="44"/>
      <c r="IUR79" s="44"/>
      <c r="IUS79" s="44"/>
      <c r="IUT79" s="44"/>
      <c r="IUU79" s="44"/>
      <c r="IUV79" s="44"/>
      <c r="IUW79" s="44"/>
      <c r="IUX79" s="44"/>
      <c r="IUY79" s="44"/>
      <c r="IUZ79" s="44"/>
      <c r="IVA79" s="44"/>
      <c r="IVB79" s="44"/>
      <c r="IVC79" s="44"/>
      <c r="IVD79" s="44"/>
      <c r="IVE79" s="44"/>
      <c r="IVF79" s="44"/>
      <c r="IVG79" s="44"/>
      <c r="IVH79" s="44"/>
      <c r="IVI79" s="44"/>
      <c r="IVJ79" s="44"/>
      <c r="IVK79" s="44"/>
      <c r="IVL79" s="44"/>
      <c r="IVM79" s="44"/>
      <c r="IVN79" s="44"/>
      <c r="IVO79" s="44"/>
      <c r="IVP79" s="44"/>
      <c r="IVQ79" s="44"/>
      <c r="IVR79" s="44"/>
      <c r="IVS79" s="44"/>
      <c r="IVT79" s="44"/>
      <c r="IVU79" s="44"/>
      <c r="IVV79" s="44"/>
      <c r="IVW79" s="44"/>
      <c r="IVX79" s="44"/>
      <c r="IVY79" s="44"/>
      <c r="IVZ79" s="44"/>
      <c r="IWA79" s="44"/>
      <c r="IWB79" s="44"/>
      <c r="IWC79" s="44"/>
      <c r="IWD79" s="44"/>
      <c r="IWE79" s="44"/>
      <c r="IWF79" s="44"/>
      <c r="IWG79" s="44"/>
      <c r="IWH79" s="44"/>
      <c r="IWI79" s="44"/>
      <c r="IWJ79" s="44"/>
      <c r="IWK79" s="44"/>
      <c r="IWL79" s="44"/>
      <c r="IWM79" s="44"/>
      <c r="IWN79" s="44"/>
      <c r="IWO79" s="44"/>
      <c r="IWP79" s="44"/>
      <c r="IWQ79" s="44"/>
      <c r="IWR79" s="44"/>
      <c r="IWS79" s="44"/>
      <c r="IWT79" s="44"/>
      <c r="IWU79" s="44"/>
      <c r="IWV79" s="44"/>
      <c r="IWW79" s="44"/>
      <c r="IWX79" s="44"/>
      <c r="IWY79" s="44"/>
      <c r="IWZ79" s="44"/>
      <c r="IXA79" s="44"/>
      <c r="IXB79" s="44"/>
      <c r="IXC79" s="44"/>
      <c r="IXD79" s="44"/>
      <c r="IXE79" s="44"/>
      <c r="IXF79" s="44"/>
      <c r="IXG79" s="44"/>
      <c r="IXH79" s="44"/>
      <c r="IXI79" s="44"/>
      <c r="IXJ79" s="44"/>
      <c r="IXK79" s="44"/>
      <c r="IXL79" s="44"/>
      <c r="IXM79" s="44"/>
      <c r="IXN79" s="44"/>
      <c r="IXO79" s="44"/>
      <c r="IXP79" s="44"/>
      <c r="IXQ79" s="44"/>
      <c r="IXR79" s="44"/>
      <c r="IXS79" s="44"/>
      <c r="IXT79" s="44"/>
      <c r="IXU79" s="44"/>
      <c r="IXV79" s="44"/>
      <c r="IXW79" s="44"/>
      <c r="IXX79" s="44"/>
      <c r="IXY79" s="44"/>
      <c r="IXZ79" s="44"/>
      <c r="IYA79" s="44"/>
      <c r="IYB79" s="44"/>
      <c r="IYC79" s="44"/>
      <c r="IYD79" s="44"/>
      <c r="IYE79" s="44"/>
      <c r="IYF79" s="44"/>
      <c r="IYG79" s="44"/>
      <c r="IYH79" s="44"/>
      <c r="IYI79" s="44"/>
      <c r="IYJ79" s="44"/>
      <c r="IYK79" s="44"/>
      <c r="IYL79" s="44"/>
      <c r="IYM79" s="44"/>
      <c r="IYN79" s="44"/>
      <c r="IYO79" s="44"/>
      <c r="IYP79" s="44"/>
      <c r="IYQ79" s="44"/>
      <c r="IYR79" s="44"/>
      <c r="IYS79" s="44"/>
      <c r="IYT79" s="44"/>
      <c r="IYU79" s="44"/>
      <c r="IYV79" s="44"/>
      <c r="IYW79" s="44"/>
      <c r="IYX79" s="44"/>
      <c r="IYY79" s="44"/>
      <c r="IYZ79" s="44"/>
      <c r="IZA79" s="44"/>
      <c r="IZB79" s="44"/>
      <c r="IZC79" s="44"/>
      <c r="IZD79" s="44"/>
      <c r="IZE79" s="44"/>
      <c r="IZF79" s="44"/>
      <c r="IZG79" s="44"/>
      <c r="IZH79" s="44"/>
      <c r="IZI79" s="44"/>
      <c r="IZJ79" s="44"/>
      <c r="IZK79" s="44"/>
      <c r="IZL79" s="44"/>
      <c r="IZM79" s="44"/>
      <c r="IZN79" s="44"/>
      <c r="IZO79" s="44"/>
      <c r="IZP79" s="44"/>
      <c r="IZQ79" s="44"/>
      <c r="IZR79" s="44"/>
      <c r="IZS79" s="44"/>
      <c r="IZT79" s="44"/>
      <c r="IZU79" s="44"/>
      <c r="IZV79" s="44"/>
      <c r="IZW79" s="44"/>
      <c r="IZX79" s="44"/>
      <c r="IZY79" s="44"/>
      <c r="IZZ79" s="44"/>
      <c r="JAA79" s="44"/>
      <c r="JAB79" s="44"/>
      <c r="JAC79" s="44"/>
      <c r="JAD79" s="44"/>
      <c r="JAE79" s="44"/>
      <c r="JAF79" s="44"/>
      <c r="JAG79" s="44"/>
      <c r="JAH79" s="44"/>
      <c r="JAI79" s="44"/>
      <c r="JAJ79" s="44"/>
      <c r="JAK79" s="44"/>
      <c r="JAL79" s="44"/>
      <c r="JAM79" s="44"/>
      <c r="JAN79" s="44"/>
      <c r="JAO79" s="44"/>
      <c r="JAP79" s="44"/>
      <c r="JAQ79" s="44"/>
      <c r="JAR79" s="44"/>
      <c r="JAS79" s="44"/>
      <c r="JAT79" s="44"/>
      <c r="JAU79" s="44"/>
      <c r="JAV79" s="44"/>
      <c r="JAW79" s="44"/>
      <c r="JAX79" s="44"/>
      <c r="JAY79" s="44"/>
      <c r="JAZ79" s="44"/>
      <c r="JBA79" s="44"/>
      <c r="JBB79" s="44"/>
      <c r="JBC79" s="44"/>
      <c r="JBD79" s="44"/>
      <c r="JBE79" s="44"/>
      <c r="JBF79" s="44"/>
      <c r="JBG79" s="44"/>
      <c r="JBH79" s="44"/>
      <c r="JBI79" s="44"/>
      <c r="JBJ79" s="44"/>
      <c r="JBK79" s="44"/>
      <c r="JBL79" s="44"/>
      <c r="JBM79" s="44"/>
      <c r="JBN79" s="44"/>
      <c r="JBO79" s="44"/>
      <c r="JBP79" s="44"/>
      <c r="JBQ79" s="44"/>
      <c r="JBR79" s="44"/>
      <c r="JBS79" s="44"/>
      <c r="JBT79" s="44"/>
      <c r="JBU79" s="44"/>
      <c r="JBV79" s="44"/>
      <c r="JBW79" s="44"/>
      <c r="JBX79" s="44"/>
      <c r="JBY79" s="44"/>
      <c r="JBZ79" s="44"/>
      <c r="JCA79" s="44"/>
      <c r="JCB79" s="44"/>
      <c r="JCC79" s="44"/>
      <c r="JCD79" s="44"/>
      <c r="JCE79" s="44"/>
      <c r="JCF79" s="44"/>
      <c r="JCG79" s="44"/>
      <c r="JCH79" s="44"/>
      <c r="JCI79" s="44"/>
      <c r="JCJ79" s="44"/>
      <c r="JCK79" s="44"/>
      <c r="JCL79" s="44"/>
      <c r="JCM79" s="44"/>
      <c r="JCN79" s="44"/>
      <c r="JCO79" s="44"/>
      <c r="JCP79" s="44"/>
      <c r="JCQ79" s="44"/>
      <c r="JCR79" s="44"/>
      <c r="JCS79" s="44"/>
      <c r="JCT79" s="44"/>
      <c r="JCU79" s="44"/>
      <c r="JCV79" s="44"/>
      <c r="JCW79" s="44"/>
      <c r="JCX79" s="44"/>
      <c r="JCY79" s="44"/>
      <c r="JCZ79" s="44"/>
      <c r="JDA79" s="44"/>
      <c r="JDB79" s="44"/>
      <c r="JDC79" s="44"/>
      <c r="JDD79" s="44"/>
      <c r="JDE79" s="44"/>
      <c r="JDF79" s="44"/>
      <c r="JDG79" s="44"/>
      <c r="JDH79" s="44"/>
      <c r="JDI79" s="44"/>
      <c r="JDJ79" s="44"/>
      <c r="JDK79" s="44"/>
      <c r="JDL79" s="44"/>
      <c r="JDM79" s="44"/>
      <c r="JDN79" s="44"/>
      <c r="JDO79" s="44"/>
      <c r="JDP79" s="44"/>
      <c r="JDQ79" s="44"/>
      <c r="JDR79" s="44"/>
      <c r="JDS79" s="44"/>
      <c r="JDT79" s="44"/>
      <c r="JDU79" s="44"/>
      <c r="JDV79" s="44"/>
      <c r="JDW79" s="44"/>
      <c r="JDX79" s="44"/>
      <c r="JDY79" s="44"/>
      <c r="JDZ79" s="44"/>
      <c r="JEA79" s="44"/>
      <c r="JEB79" s="44"/>
      <c r="JEC79" s="44"/>
      <c r="JED79" s="44"/>
      <c r="JEE79" s="44"/>
      <c r="JEF79" s="44"/>
      <c r="JEG79" s="44"/>
      <c r="JEH79" s="44"/>
      <c r="JEI79" s="44"/>
      <c r="JEJ79" s="44"/>
      <c r="JEK79" s="44"/>
      <c r="JEL79" s="44"/>
      <c r="JEM79" s="44"/>
      <c r="JEN79" s="44"/>
      <c r="JEO79" s="44"/>
      <c r="JEP79" s="44"/>
      <c r="JEQ79" s="44"/>
      <c r="JER79" s="44"/>
      <c r="JES79" s="44"/>
      <c r="JET79" s="44"/>
      <c r="JEU79" s="44"/>
      <c r="JEV79" s="44"/>
      <c r="JEW79" s="44"/>
      <c r="JEX79" s="44"/>
      <c r="JEY79" s="44"/>
      <c r="JEZ79" s="44"/>
      <c r="JFA79" s="44"/>
      <c r="JFB79" s="44"/>
      <c r="JFC79" s="44"/>
      <c r="JFD79" s="44"/>
      <c r="JFE79" s="44"/>
      <c r="JFF79" s="44"/>
      <c r="JFG79" s="44"/>
      <c r="JFH79" s="44"/>
      <c r="JFI79" s="44"/>
      <c r="JFJ79" s="44"/>
      <c r="JFK79" s="44"/>
      <c r="JFL79" s="44"/>
      <c r="JFM79" s="44"/>
      <c r="JFN79" s="44"/>
      <c r="JFO79" s="44"/>
      <c r="JFP79" s="44"/>
      <c r="JFQ79" s="44"/>
      <c r="JFR79" s="44"/>
      <c r="JFS79" s="44"/>
      <c r="JFT79" s="44"/>
      <c r="JFU79" s="44"/>
      <c r="JFV79" s="44"/>
      <c r="JFW79" s="44"/>
      <c r="JFX79" s="44"/>
      <c r="JFY79" s="44"/>
      <c r="JFZ79" s="44"/>
      <c r="JGA79" s="44"/>
      <c r="JGB79" s="44"/>
      <c r="JGC79" s="44"/>
      <c r="JGD79" s="44"/>
      <c r="JGE79" s="44"/>
      <c r="JGF79" s="44"/>
      <c r="JGG79" s="44"/>
      <c r="JGH79" s="44"/>
      <c r="JGI79" s="44"/>
      <c r="JGJ79" s="44"/>
      <c r="JGK79" s="44"/>
      <c r="JGL79" s="44"/>
      <c r="JGM79" s="44"/>
      <c r="JGN79" s="44"/>
      <c r="JGO79" s="44"/>
      <c r="JGP79" s="44"/>
      <c r="JGQ79" s="44"/>
      <c r="JGR79" s="44"/>
      <c r="JGS79" s="44"/>
      <c r="JGT79" s="44"/>
      <c r="JGU79" s="44"/>
      <c r="JGV79" s="44"/>
      <c r="JGW79" s="44"/>
      <c r="JGX79" s="44"/>
      <c r="JGY79" s="44"/>
      <c r="JGZ79" s="44"/>
      <c r="JHA79" s="44"/>
      <c r="JHB79" s="44"/>
      <c r="JHC79" s="44"/>
      <c r="JHD79" s="44"/>
      <c r="JHE79" s="44"/>
      <c r="JHF79" s="44"/>
      <c r="JHG79" s="44"/>
      <c r="JHH79" s="44"/>
      <c r="JHI79" s="44"/>
      <c r="JHJ79" s="44"/>
      <c r="JHK79" s="44"/>
      <c r="JHL79" s="44"/>
      <c r="JHM79" s="44"/>
      <c r="JHN79" s="44"/>
      <c r="JHO79" s="44"/>
      <c r="JHP79" s="44"/>
      <c r="JHQ79" s="44"/>
      <c r="JHR79" s="44"/>
      <c r="JHS79" s="44"/>
      <c r="JHT79" s="44"/>
      <c r="JHU79" s="44"/>
      <c r="JHV79" s="44"/>
      <c r="JHW79" s="44"/>
      <c r="JHX79" s="44"/>
      <c r="JHY79" s="44"/>
      <c r="JHZ79" s="44"/>
      <c r="JIA79" s="44"/>
      <c r="JIB79" s="44"/>
      <c r="JIC79" s="44"/>
      <c r="JID79" s="44"/>
      <c r="JIE79" s="44"/>
      <c r="JIF79" s="44"/>
      <c r="JIG79" s="44"/>
      <c r="JIH79" s="44"/>
      <c r="JII79" s="44"/>
      <c r="JIJ79" s="44"/>
      <c r="JIK79" s="44"/>
      <c r="JIL79" s="44"/>
      <c r="JIM79" s="44"/>
      <c r="JIN79" s="44"/>
      <c r="JIO79" s="44"/>
      <c r="JIP79" s="44"/>
      <c r="JIQ79" s="44"/>
      <c r="JIR79" s="44"/>
      <c r="JIS79" s="44"/>
      <c r="JIT79" s="44"/>
      <c r="JIU79" s="44"/>
      <c r="JIV79" s="44"/>
      <c r="JIW79" s="44"/>
      <c r="JIX79" s="44"/>
      <c r="JIY79" s="44"/>
      <c r="JIZ79" s="44"/>
      <c r="JJA79" s="44"/>
      <c r="JJB79" s="44"/>
      <c r="JJC79" s="44"/>
      <c r="JJD79" s="44"/>
      <c r="JJE79" s="44"/>
      <c r="JJF79" s="44"/>
      <c r="JJG79" s="44"/>
      <c r="JJH79" s="44"/>
      <c r="JJI79" s="44"/>
      <c r="JJJ79" s="44"/>
      <c r="JJK79" s="44"/>
      <c r="JJL79" s="44"/>
      <c r="JJM79" s="44"/>
      <c r="JJN79" s="44"/>
      <c r="JJO79" s="44"/>
      <c r="JJP79" s="44"/>
      <c r="JJQ79" s="44"/>
      <c r="JJR79" s="44"/>
      <c r="JJS79" s="44"/>
      <c r="JJT79" s="44"/>
      <c r="JJU79" s="44"/>
      <c r="JJV79" s="44"/>
      <c r="JJW79" s="44"/>
      <c r="JJX79" s="44"/>
      <c r="JJY79" s="44"/>
      <c r="JJZ79" s="44"/>
      <c r="JKA79" s="44"/>
      <c r="JKB79" s="44"/>
      <c r="JKC79" s="44"/>
      <c r="JKD79" s="44"/>
      <c r="JKE79" s="44"/>
      <c r="JKF79" s="44"/>
      <c r="JKG79" s="44"/>
      <c r="JKH79" s="44"/>
      <c r="JKI79" s="44"/>
      <c r="JKJ79" s="44"/>
      <c r="JKK79" s="44"/>
      <c r="JKL79" s="44"/>
      <c r="JKM79" s="44"/>
      <c r="JKN79" s="44"/>
      <c r="JKO79" s="44"/>
      <c r="JKP79" s="44"/>
      <c r="JKQ79" s="44"/>
      <c r="JKR79" s="44"/>
      <c r="JKS79" s="44"/>
      <c r="JKT79" s="44"/>
      <c r="JKU79" s="44"/>
      <c r="JKV79" s="44"/>
      <c r="JKW79" s="44"/>
      <c r="JKX79" s="44"/>
      <c r="JKY79" s="44"/>
      <c r="JKZ79" s="44"/>
      <c r="JLA79" s="44"/>
      <c r="JLB79" s="44"/>
      <c r="JLC79" s="44"/>
      <c r="JLD79" s="44"/>
      <c r="JLE79" s="44"/>
      <c r="JLF79" s="44"/>
      <c r="JLG79" s="44"/>
      <c r="JLH79" s="44"/>
      <c r="JLI79" s="44"/>
      <c r="JLJ79" s="44"/>
      <c r="JLK79" s="44"/>
      <c r="JLL79" s="44"/>
      <c r="JLM79" s="44"/>
      <c r="JLN79" s="44"/>
      <c r="JLO79" s="44"/>
      <c r="JLP79" s="44"/>
      <c r="JLQ79" s="44"/>
      <c r="JLR79" s="44"/>
      <c r="JLS79" s="44"/>
      <c r="JLT79" s="44"/>
      <c r="JLU79" s="44"/>
      <c r="JLV79" s="44"/>
      <c r="JLW79" s="44"/>
      <c r="JLX79" s="44"/>
      <c r="JLY79" s="44"/>
      <c r="JLZ79" s="44"/>
      <c r="JMA79" s="44"/>
      <c r="JMB79" s="44"/>
      <c r="JMC79" s="44"/>
      <c r="JMD79" s="44"/>
      <c r="JME79" s="44"/>
      <c r="JMF79" s="44"/>
      <c r="JMG79" s="44"/>
      <c r="JMH79" s="44"/>
      <c r="JMI79" s="44"/>
      <c r="JMJ79" s="44"/>
      <c r="JMK79" s="44"/>
      <c r="JML79" s="44"/>
      <c r="JMM79" s="44"/>
      <c r="JMN79" s="44"/>
      <c r="JMO79" s="44"/>
      <c r="JMP79" s="44"/>
      <c r="JMQ79" s="44"/>
      <c r="JMR79" s="44"/>
      <c r="JMS79" s="44"/>
      <c r="JMT79" s="44"/>
      <c r="JMU79" s="44"/>
      <c r="JMV79" s="44"/>
      <c r="JMW79" s="44"/>
      <c r="JMX79" s="44"/>
      <c r="JMY79" s="44"/>
      <c r="JMZ79" s="44"/>
      <c r="JNA79" s="44"/>
      <c r="JNB79" s="44"/>
      <c r="JNC79" s="44"/>
      <c r="JND79" s="44"/>
      <c r="JNE79" s="44"/>
      <c r="JNF79" s="44"/>
      <c r="JNG79" s="44"/>
      <c r="JNH79" s="44"/>
      <c r="JNI79" s="44"/>
      <c r="JNJ79" s="44"/>
      <c r="JNK79" s="44"/>
      <c r="JNL79" s="44"/>
      <c r="JNM79" s="44"/>
      <c r="JNN79" s="44"/>
      <c r="JNO79" s="44"/>
      <c r="JNP79" s="44"/>
      <c r="JNQ79" s="44"/>
      <c r="JNR79" s="44"/>
      <c r="JNS79" s="44"/>
      <c r="JNT79" s="44"/>
      <c r="JNU79" s="44"/>
      <c r="JNV79" s="44"/>
      <c r="JNW79" s="44"/>
      <c r="JNX79" s="44"/>
      <c r="JNY79" s="44"/>
      <c r="JNZ79" s="44"/>
      <c r="JOA79" s="44"/>
      <c r="JOB79" s="44"/>
      <c r="JOC79" s="44"/>
      <c r="JOD79" s="44"/>
      <c r="JOE79" s="44"/>
      <c r="JOF79" s="44"/>
      <c r="JOG79" s="44"/>
      <c r="JOH79" s="44"/>
      <c r="JOI79" s="44"/>
      <c r="JOJ79" s="44"/>
      <c r="JOK79" s="44"/>
      <c r="JOL79" s="44"/>
      <c r="JOM79" s="44"/>
      <c r="JON79" s="44"/>
      <c r="JOO79" s="44"/>
      <c r="JOP79" s="44"/>
      <c r="JOQ79" s="44"/>
      <c r="JOR79" s="44"/>
      <c r="JOS79" s="44"/>
      <c r="JOT79" s="44"/>
      <c r="JOU79" s="44"/>
      <c r="JOV79" s="44"/>
      <c r="JOW79" s="44"/>
      <c r="JOX79" s="44"/>
      <c r="JOY79" s="44"/>
      <c r="JOZ79" s="44"/>
      <c r="JPA79" s="44"/>
      <c r="JPB79" s="44"/>
      <c r="JPC79" s="44"/>
      <c r="JPD79" s="44"/>
      <c r="JPE79" s="44"/>
      <c r="JPF79" s="44"/>
      <c r="JPG79" s="44"/>
      <c r="JPH79" s="44"/>
      <c r="JPI79" s="44"/>
      <c r="JPJ79" s="44"/>
      <c r="JPK79" s="44"/>
      <c r="JPL79" s="44"/>
      <c r="JPM79" s="44"/>
      <c r="JPN79" s="44"/>
      <c r="JPO79" s="44"/>
      <c r="JPP79" s="44"/>
      <c r="JPQ79" s="44"/>
      <c r="JPR79" s="44"/>
      <c r="JPS79" s="44"/>
      <c r="JPT79" s="44"/>
      <c r="JPU79" s="44"/>
      <c r="JPV79" s="44"/>
      <c r="JPW79" s="44"/>
      <c r="JPX79" s="44"/>
      <c r="JPY79" s="44"/>
      <c r="JPZ79" s="44"/>
      <c r="JQA79" s="44"/>
      <c r="JQB79" s="44"/>
      <c r="JQC79" s="44"/>
      <c r="JQD79" s="44"/>
      <c r="JQE79" s="44"/>
      <c r="JQF79" s="44"/>
      <c r="JQG79" s="44"/>
      <c r="JQH79" s="44"/>
      <c r="JQI79" s="44"/>
      <c r="JQJ79" s="44"/>
      <c r="JQK79" s="44"/>
      <c r="JQL79" s="44"/>
      <c r="JQM79" s="44"/>
      <c r="JQN79" s="44"/>
      <c r="JQO79" s="44"/>
      <c r="JQP79" s="44"/>
      <c r="JQQ79" s="44"/>
      <c r="JQR79" s="44"/>
      <c r="JQS79" s="44"/>
      <c r="JQT79" s="44"/>
      <c r="JQU79" s="44"/>
      <c r="JQV79" s="44"/>
      <c r="JQW79" s="44"/>
      <c r="JQX79" s="44"/>
      <c r="JQY79" s="44"/>
      <c r="JQZ79" s="44"/>
      <c r="JRA79" s="44"/>
      <c r="JRB79" s="44"/>
      <c r="JRC79" s="44"/>
      <c r="JRD79" s="44"/>
      <c r="JRE79" s="44"/>
      <c r="JRF79" s="44"/>
      <c r="JRG79" s="44"/>
      <c r="JRH79" s="44"/>
      <c r="JRI79" s="44"/>
      <c r="JRJ79" s="44"/>
      <c r="JRK79" s="44"/>
      <c r="JRL79" s="44"/>
      <c r="JRM79" s="44"/>
      <c r="JRN79" s="44"/>
      <c r="JRO79" s="44"/>
      <c r="JRP79" s="44"/>
      <c r="JRQ79" s="44"/>
      <c r="JRR79" s="44"/>
      <c r="JRS79" s="44"/>
      <c r="JRT79" s="44"/>
      <c r="JRU79" s="44"/>
      <c r="JRV79" s="44"/>
      <c r="JRW79" s="44"/>
      <c r="JRX79" s="44"/>
      <c r="JRY79" s="44"/>
      <c r="JRZ79" s="44"/>
      <c r="JSA79" s="44"/>
      <c r="JSB79" s="44"/>
      <c r="JSC79" s="44"/>
      <c r="JSD79" s="44"/>
      <c r="JSE79" s="44"/>
      <c r="JSF79" s="44"/>
      <c r="JSG79" s="44"/>
      <c r="JSH79" s="44"/>
      <c r="JSI79" s="44"/>
      <c r="JSJ79" s="44"/>
      <c r="JSK79" s="44"/>
      <c r="JSL79" s="44"/>
      <c r="JSM79" s="44"/>
      <c r="JSN79" s="44"/>
      <c r="JSO79" s="44"/>
      <c r="JSP79" s="44"/>
      <c r="JSQ79" s="44"/>
      <c r="JSR79" s="44"/>
      <c r="JSS79" s="44"/>
      <c r="JST79" s="44"/>
      <c r="JSU79" s="44"/>
      <c r="JSV79" s="44"/>
      <c r="JSW79" s="44"/>
      <c r="JSX79" s="44"/>
      <c r="JSY79" s="44"/>
      <c r="JSZ79" s="44"/>
      <c r="JTA79" s="44"/>
      <c r="JTB79" s="44"/>
      <c r="JTC79" s="44"/>
      <c r="JTD79" s="44"/>
      <c r="JTE79" s="44"/>
      <c r="JTF79" s="44"/>
      <c r="JTG79" s="44"/>
      <c r="JTH79" s="44"/>
      <c r="JTI79" s="44"/>
      <c r="JTJ79" s="44"/>
      <c r="JTK79" s="44"/>
      <c r="JTL79" s="44"/>
      <c r="JTM79" s="44"/>
      <c r="JTN79" s="44"/>
      <c r="JTO79" s="44"/>
      <c r="JTP79" s="44"/>
      <c r="JTQ79" s="44"/>
      <c r="JTR79" s="44"/>
      <c r="JTS79" s="44"/>
      <c r="JTT79" s="44"/>
      <c r="JTU79" s="44"/>
      <c r="JTV79" s="44"/>
      <c r="JTW79" s="44"/>
      <c r="JTX79" s="44"/>
      <c r="JTY79" s="44"/>
      <c r="JTZ79" s="44"/>
      <c r="JUA79" s="44"/>
      <c r="JUB79" s="44"/>
      <c r="JUC79" s="44"/>
      <c r="JUD79" s="44"/>
      <c r="JUE79" s="44"/>
      <c r="JUF79" s="44"/>
      <c r="JUG79" s="44"/>
      <c r="JUH79" s="44"/>
      <c r="JUI79" s="44"/>
      <c r="JUJ79" s="44"/>
      <c r="JUK79" s="44"/>
      <c r="JUL79" s="44"/>
      <c r="JUM79" s="44"/>
      <c r="JUN79" s="44"/>
      <c r="JUO79" s="44"/>
      <c r="JUP79" s="44"/>
      <c r="JUQ79" s="44"/>
      <c r="JUR79" s="44"/>
      <c r="JUS79" s="44"/>
      <c r="JUT79" s="44"/>
      <c r="JUU79" s="44"/>
      <c r="JUV79" s="44"/>
      <c r="JUW79" s="44"/>
      <c r="JUX79" s="44"/>
      <c r="JUY79" s="44"/>
      <c r="JUZ79" s="44"/>
      <c r="JVA79" s="44"/>
      <c r="JVB79" s="44"/>
      <c r="JVC79" s="44"/>
      <c r="JVD79" s="44"/>
      <c r="JVE79" s="44"/>
      <c r="JVF79" s="44"/>
      <c r="JVG79" s="44"/>
      <c r="JVH79" s="44"/>
      <c r="JVI79" s="44"/>
      <c r="JVJ79" s="44"/>
      <c r="JVK79" s="44"/>
      <c r="JVL79" s="44"/>
      <c r="JVM79" s="44"/>
      <c r="JVN79" s="44"/>
      <c r="JVO79" s="44"/>
      <c r="JVP79" s="44"/>
      <c r="JVQ79" s="44"/>
      <c r="JVR79" s="44"/>
      <c r="JVS79" s="44"/>
      <c r="JVT79" s="44"/>
      <c r="JVU79" s="44"/>
      <c r="JVV79" s="44"/>
      <c r="JVW79" s="44"/>
      <c r="JVX79" s="44"/>
      <c r="JVY79" s="44"/>
      <c r="JVZ79" s="44"/>
      <c r="JWA79" s="44"/>
      <c r="JWB79" s="44"/>
      <c r="JWC79" s="44"/>
      <c r="JWD79" s="44"/>
      <c r="JWE79" s="44"/>
      <c r="JWF79" s="44"/>
      <c r="JWG79" s="44"/>
      <c r="JWH79" s="44"/>
      <c r="JWI79" s="44"/>
      <c r="JWJ79" s="44"/>
      <c r="JWK79" s="44"/>
      <c r="JWL79" s="44"/>
      <c r="JWM79" s="44"/>
      <c r="JWN79" s="44"/>
      <c r="JWO79" s="44"/>
      <c r="JWP79" s="44"/>
      <c r="JWQ79" s="44"/>
      <c r="JWR79" s="44"/>
      <c r="JWS79" s="44"/>
      <c r="JWT79" s="44"/>
      <c r="JWU79" s="44"/>
      <c r="JWV79" s="44"/>
      <c r="JWW79" s="44"/>
      <c r="JWX79" s="44"/>
      <c r="JWY79" s="44"/>
      <c r="JWZ79" s="44"/>
      <c r="JXA79" s="44"/>
      <c r="JXB79" s="44"/>
      <c r="JXC79" s="44"/>
      <c r="JXD79" s="44"/>
      <c r="JXE79" s="44"/>
      <c r="JXF79" s="44"/>
      <c r="JXG79" s="44"/>
      <c r="JXH79" s="44"/>
      <c r="JXI79" s="44"/>
      <c r="JXJ79" s="44"/>
      <c r="JXK79" s="44"/>
      <c r="JXL79" s="44"/>
      <c r="JXM79" s="44"/>
      <c r="JXN79" s="44"/>
      <c r="JXO79" s="44"/>
      <c r="JXP79" s="44"/>
      <c r="JXQ79" s="44"/>
      <c r="JXR79" s="44"/>
      <c r="JXS79" s="44"/>
      <c r="JXT79" s="44"/>
      <c r="JXU79" s="44"/>
      <c r="JXV79" s="44"/>
      <c r="JXW79" s="44"/>
      <c r="JXX79" s="44"/>
      <c r="JXY79" s="44"/>
      <c r="JXZ79" s="44"/>
      <c r="JYA79" s="44"/>
      <c r="JYB79" s="44"/>
      <c r="JYC79" s="44"/>
      <c r="JYD79" s="44"/>
      <c r="JYE79" s="44"/>
      <c r="JYF79" s="44"/>
      <c r="JYG79" s="44"/>
      <c r="JYH79" s="44"/>
      <c r="JYI79" s="44"/>
      <c r="JYJ79" s="44"/>
      <c r="JYK79" s="44"/>
      <c r="JYL79" s="44"/>
      <c r="JYM79" s="44"/>
      <c r="JYN79" s="44"/>
      <c r="JYO79" s="44"/>
      <c r="JYP79" s="44"/>
      <c r="JYQ79" s="44"/>
      <c r="JYR79" s="44"/>
      <c r="JYS79" s="44"/>
      <c r="JYT79" s="44"/>
      <c r="JYU79" s="44"/>
      <c r="JYV79" s="44"/>
      <c r="JYW79" s="44"/>
      <c r="JYX79" s="44"/>
      <c r="JYY79" s="44"/>
      <c r="JYZ79" s="44"/>
      <c r="JZA79" s="44"/>
      <c r="JZB79" s="44"/>
      <c r="JZC79" s="44"/>
      <c r="JZD79" s="44"/>
      <c r="JZE79" s="44"/>
      <c r="JZF79" s="44"/>
      <c r="JZG79" s="44"/>
      <c r="JZH79" s="44"/>
      <c r="JZI79" s="44"/>
      <c r="JZJ79" s="44"/>
      <c r="JZK79" s="44"/>
      <c r="JZL79" s="44"/>
      <c r="JZM79" s="44"/>
      <c r="JZN79" s="44"/>
      <c r="JZO79" s="44"/>
      <c r="JZP79" s="44"/>
      <c r="JZQ79" s="44"/>
      <c r="JZR79" s="44"/>
      <c r="JZS79" s="44"/>
      <c r="JZT79" s="44"/>
      <c r="JZU79" s="44"/>
      <c r="JZV79" s="44"/>
      <c r="JZW79" s="44"/>
      <c r="JZX79" s="44"/>
      <c r="JZY79" s="44"/>
      <c r="JZZ79" s="44"/>
      <c r="KAA79" s="44"/>
      <c r="KAB79" s="44"/>
      <c r="KAC79" s="44"/>
      <c r="KAD79" s="44"/>
      <c r="KAE79" s="44"/>
      <c r="KAF79" s="44"/>
      <c r="KAG79" s="44"/>
      <c r="KAH79" s="44"/>
      <c r="KAI79" s="44"/>
      <c r="KAJ79" s="44"/>
      <c r="KAK79" s="44"/>
      <c r="KAL79" s="44"/>
      <c r="KAM79" s="44"/>
      <c r="KAN79" s="44"/>
      <c r="KAO79" s="44"/>
      <c r="KAP79" s="44"/>
      <c r="KAQ79" s="44"/>
      <c r="KAR79" s="44"/>
      <c r="KAS79" s="44"/>
      <c r="KAT79" s="44"/>
      <c r="KAU79" s="44"/>
      <c r="KAV79" s="44"/>
      <c r="KAW79" s="44"/>
      <c r="KAX79" s="44"/>
      <c r="KAY79" s="44"/>
      <c r="KAZ79" s="44"/>
      <c r="KBA79" s="44"/>
      <c r="KBB79" s="44"/>
      <c r="KBC79" s="44"/>
      <c r="KBD79" s="44"/>
      <c r="KBE79" s="44"/>
      <c r="KBF79" s="44"/>
      <c r="KBG79" s="44"/>
      <c r="KBH79" s="44"/>
      <c r="KBI79" s="44"/>
      <c r="KBJ79" s="44"/>
      <c r="KBK79" s="44"/>
      <c r="KBL79" s="44"/>
      <c r="KBM79" s="44"/>
      <c r="KBN79" s="44"/>
      <c r="KBO79" s="44"/>
      <c r="KBP79" s="44"/>
      <c r="KBQ79" s="44"/>
      <c r="KBR79" s="44"/>
      <c r="KBS79" s="44"/>
      <c r="KBT79" s="44"/>
      <c r="KBU79" s="44"/>
      <c r="KBV79" s="44"/>
      <c r="KBW79" s="44"/>
      <c r="KBX79" s="44"/>
      <c r="KBY79" s="44"/>
      <c r="KBZ79" s="44"/>
      <c r="KCA79" s="44"/>
      <c r="KCB79" s="44"/>
      <c r="KCC79" s="44"/>
      <c r="KCD79" s="44"/>
      <c r="KCE79" s="44"/>
      <c r="KCF79" s="44"/>
      <c r="KCG79" s="44"/>
      <c r="KCH79" s="44"/>
      <c r="KCI79" s="44"/>
      <c r="KCJ79" s="44"/>
      <c r="KCK79" s="44"/>
      <c r="KCL79" s="44"/>
      <c r="KCM79" s="44"/>
      <c r="KCN79" s="44"/>
      <c r="KCO79" s="44"/>
      <c r="KCP79" s="44"/>
      <c r="KCQ79" s="44"/>
      <c r="KCR79" s="44"/>
      <c r="KCS79" s="44"/>
      <c r="KCT79" s="44"/>
      <c r="KCU79" s="44"/>
      <c r="KCV79" s="44"/>
      <c r="KCW79" s="44"/>
      <c r="KCX79" s="44"/>
      <c r="KCY79" s="44"/>
      <c r="KCZ79" s="44"/>
      <c r="KDA79" s="44"/>
      <c r="KDB79" s="44"/>
      <c r="KDC79" s="44"/>
      <c r="KDD79" s="44"/>
      <c r="KDE79" s="44"/>
      <c r="KDF79" s="44"/>
      <c r="KDG79" s="44"/>
      <c r="KDH79" s="44"/>
      <c r="KDI79" s="44"/>
      <c r="KDJ79" s="44"/>
      <c r="KDK79" s="44"/>
      <c r="KDL79" s="44"/>
      <c r="KDM79" s="44"/>
      <c r="KDN79" s="44"/>
      <c r="KDO79" s="44"/>
      <c r="KDP79" s="44"/>
      <c r="KDQ79" s="44"/>
      <c r="KDR79" s="44"/>
      <c r="KDS79" s="44"/>
      <c r="KDT79" s="44"/>
      <c r="KDU79" s="44"/>
      <c r="KDV79" s="44"/>
      <c r="KDW79" s="44"/>
      <c r="KDX79" s="44"/>
      <c r="KDY79" s="44"/>
      <c r="KDZ79" s="44"/>
      <c r="KEA79" s="44"/>
      <c r="KEB79" s="44"/>
      <c r="KEC79" s="44"/>
      <c r="KED79" s="44"/>
      <c r="KEE79" s="44"/>
      <c r="KEF79" s="44"/>
      <c r="KEG79" s="44"/>
      <c r="KEH79" s="44"/>
      <c r="KEI79" s="44"/>
      <c r="KEJ79" s="44"/>
      <c r="KEK79" s="44"/>
      <c r="KEL79" s="44"/>
      <c r="KEM79" s="44"/>
      <c r="KEN79" s="44"/>
      <c r="KEO79" s="44"/>
      <c r="KEP79" s="44"/>
      <c r="KEQ79" s="44"/>
      <c r="KER79" s="44"/>
      <c r="KES79" s="44"/>
      <c r="KET79" s="44"/>
      <c r="KEU79" s="44"/>
      <c r="KEV79" s="44"/>
      <c r="KEW79" s="44"/>
      <c r="KEX79" s="44"/>
      <c r="KEY79" s="44"/>
      <c r="KEZ79" s="44"/>
      <c r="KFA79" s="44"/>
      <c r="KFB79" s="44"/>
      <c r="KFC79" s="44"/>
      <c r="KFD79" s="44"/>
      <c r="KFE79" s="44"/>
      <c r="KFF79" s="44"/>
      <c r="KFG79" s="44"/>
      <c r="KFH79" s="44"/>
      <c r="KFI79" s="44"/>
      <c r="KFJ79" s="44"/>
      <c r="KFK79" s="44"/>
      <c r="KFL79" s="44"/>
      <c r="KFM79" s="44"/>
      <c r="KFN79" s="44"/>
      <c r="KFO79" s="44"/>
      <c r="KFP79" s="44"/>
      <c r="KFQ79" s="44"/>
      <c r="KFR79" s="44"/>
      <c r="KFS79" s="44"/>
      <c r="KFT79" s="44"/>
      <c r="KFU79" s="44"/>
      <c r="KFV79" s="44"/>
      <c r="KFW79" s="44"/>
      <c r="KFX79" s="44"/>
      <c r="KFY79" s="44"/>
      <c r="KFZ79" s="44"/>
      <c r="KGA79" s="44"/>
      <c r="KGB79" s="44"/>
      <c r="KGC79" s="44"/>
      <c r="KGD79" s="44"/>
      <c r="KGE79" s="44"/>
      <c r="KGF79" s="44"/>
      <c r="KGG79" s="44"/>
      <c r="KGH79" s="44"/>
      <c r="KGI79" s="44"/>
      <c r="KGJ79" s="44"/>
      <c r="KGK79" s="44"/>
      <c r="KGL79" s="44"/>
      <c r="KGM79" s="44"/>
      <c r="KGN79" s="44"/>
      <c r="KGO79" s="44"/>
      <c r="KGP79" s="44"/>
      <c r="KGQ79" s="44"/>
      <c r="KGR79" s="44"/>
      <c r="KGS79" s="44"/>
      <c r="KGT79" s="44"/>
      <c r="KGU79" s="44"/>
      <c r="KGV79" s="44"/>
      <c r="KGW79" s="44"/>
      <c r="KGX79" s="44"/>
      <c r="KGY79" s="44"/>
      <c r="KGZ79" s="44"/>
      <c r="KHA79" s="44"/>
      <c r="KHB79" s="44"/>
      <c r="KHC79" s="44"/>
      <c r="KHD79" s="44"/>
      <c r="KHE79" s="44"/>
      <c r="KHF79" s="44"/>
      <c r="KHG79" s="44"/>
      <c r="KHH79" s="44"/>
      <c r="KHI79" s="44"/>
      <c r="KHJ79" s="44"/>
      <c r="KHK79" s="44"/>
      <c r="KHL79" s="44"/>
      <c r="KHM79" s="44"/>
      <c r="KHN79" s="44"/>
      <c r="KHO79" s="44"/>
      <c r="KHP79" s="44"/>
      <c r="KHQ79" s="44"/>
      <c r="KHR79" s="44"/>
      <c r="KHS79" s="44"/>
      <c r="KHT79" s="44"/>
      <c r="KHU79" s="44"/>
      <c r="KHV79" s="44"/>
      <c r="KHW79" s="44"/>
      <c r="KHX79" s="44"/>
      <c r="KHY79" s="44"/>
      <c r="KHZ79" s="44"/>
      <c r="KIA79" s="44"/>
      <c r="KIB79" s="44"/>
      <c r="KIC79" s="44"/>
      <c r="KID79" s="44"/>
      <c r="KIE79" s="44"/>
      <c r="KIF79" s="44"/>
      <c r="KIG79" s="44"/>
      <c r="KIH79" s="44"/>
      <c r="KII79" s="44"/>
      <c r="KIJ79" s="44"/>
      <c r="KIK79" s="44"/>
      <c r="KIL79" s="44"/>
      <c r="KIM79" s="44"/>
      <c r="KIN79" s="44"/>
      <c r="KIO79" s="44"/>
      <c r="KIP79" s="44"/>
      <c r="KIQ79" s="44"/>
      <c r="KIR79" s="44"/>
      <c r="KIS79" s="44"/>
      <c r="KIT79" s="44"/>
      <c r="KIU79" s="44"/>
      <c r="KIV79" s="44"/>
      <c r="KIW79" s="44"/>
      <c r="KIX79" s="44"/>
      <c r="KIY79" s="44"/>
      <c r="KIZ79" s="44"/>
      <c r="KJA79" s="44"/>
      <c r="KJB79" s="44"/>
      <c r="KJC79" s="44"/>
      <c r="KJD79" s="44"/>
      <c r="KJE79" s="44"/>
      <c r="KJF79" s="44"/>
      <c r="KJG79" s="44"/>
      <c r="KJH79" s="44"/>
      <c r="KJI79" s="44"/>
      <c r="KJJ79" s="44"/>
      <c r="KJK79" s="44"/>
      <c r="KJL79" s="44"/>
      <c r="KJM79" s="44"/>
      <c r="KJN79" s="44"/>
      <c r="KJO79" s="44"/>
      <c r="KJP79" s="44"/>
      <c r="KJQ79" s="44"/>
      <c r="KJR79" s="44"/>
      <c r="KJS79" s="44"/>
      <c r="KJT79" s="44"/>
      <c r="KJU79" s="44"/>
      <c r="KJV79" s="44"/>
      <c r="KJW79" s="44"/>
      <c r="KJX79" s="44"/>
      <c r="KJY79" s="44"/>
      <c r="KJZ79" s="44"/>
      <c r="KKA79" s="44"/>
      <c r="KKB79" s="44"/>
      <c r="KKC79" s="44"/>
      <c r="KKD79" s="44"/>
      <c r="KKE79" s="44"/>
      <c r="KKF79" s="44"/>
      <c r="KKG79" s="44"/>
      <c r="KKH79" s="44"/>
      <c r="KKI79" s="44"/>
      <c r="KKJ79" s="44"/>
      <c r="KKK79" s="44"/>
      <c r="KKL79" s="44"/>
      <c r="KKM79" s="44"/>
      <c r="KKN79" s="44"/>
      <c r="KKO79" s="44"/>
      <c r="KKP79" s="44"/>
      <c r="KKQ79" s="44"/>
      <c r="KKR79" s="44"/>
      <c r="KKS79" s="44"/>
      <c r="KKT79" s="44"/>
      <c r="KKU79" s="44"/>
      <c r="KKV79" s="44"/>
      <c r="KKW79" s="44"/>
      <c r="KKX79" s="44"/>
      <c r="KKY79" s="44"/>
      <c r="KKZ79" s="44"/>
      <c r="KLA79" s="44"/>
      <c r="KLB79" s="44"/>
      <c r="KLC79" s="44"/>
      <c r="KLD79" s="44"/>
      <c r="KLE79" s="44"/>
      <c r="KLF79" s="44"/>
      <c r="KLG79" s="44"/>
      <c r="KLH79" s="44"/>
      <c r="KLI79" s="44"/>
      <c r="KLJ79" s="44"/>
      <c r="KLK79" s="44"/>
      <c r="KLL79" s="44"/>
      <c r="KLM79" s="44"/>
      <c r="KLN79" s="44"/>
      <c r="KLO79" s="44"/>
      <c r="KLP79" s="44"/>
      <c r="KLQ79" s="44"/>
      <c r="KLR79" s="44"/>
      <c r="KLS79" s="44"/>
      <c r="KLT79" s="44"/>
      <c r="KLU79" s="44"/>
      <c r="KLV79" s="44"/>
      <c r="KLW79" s="44"/>
      <c r="KLX79" s="44"/>
      <c r="KLY79" s="44"/>
      <c r="KLZ79" s="44"/>
      <c r="KMA79" s="44"/>
      <c r="KMB79" s="44"/>
      <c r="KMC79" s="44"/>
      <c r="KMD79" s="44"/>
      <c r="KME79" s="44"/>
      <c r="KMF79" s="44"/>
      <c r="KMG79" s="44"/>
      <c r="KMH79" s="44"/>
      <c r="KMI79" s="44"/>
      <c r="KMJ79" s="44"/>
      <c r="KMK79" s="44"/>
      <c r="KML79" s="44"/>
      <c r="KMM79" s="44"/>
      <c r="KMN79" s="44"/>
      <c r="KMO79" s="44"/>
      <c r="KMP79" s="44"/>
      <c r="KMQ79" s="44"/>
      <c r="KMR79" s="44"/>
      <c r="KMS79" s="44"/>
      <c r="KMT79" s="44"/>
      <c r="KMU79" s="44"/>
      <c r="KMV79" s="44"/>
      <c r="KMW79" s="44"/>
      <c r="KMX79" s="44"/>
      <c r="KMY79" s="44"/>
      <c r="KMZ79" s="44"/>
      <c r="KNA79" s="44"/>
      <c r="KNB79" s="44"/>
      <c r="KNC79" s="44"/>
      <c r="KND79" s="44"/>
      <c r="KNE79" s="44"/>
      <c r="KNF79" s="44"/>
      <c r="KNG79" s="44"/>
      <c r="KNH79" s="44"/>
      <c r="KNI79" s="44"/>
      <c r="KNJ79" s="44"/>
      <c r="KNK79" s="44"/>
      <c r="KNL79" s="44"/>
      <c r="KNM79" s="44"/>
      <c r="KNN79" s="44"/>
      <c r="KNO79" s="44"/>
      <c r="KNP79" s="44"/>
      <c r="KNQ79" s="44"/>
      <c r="KNR79" s="44"/>
      <c r="KNS79" s="44"/>
      <c r="KNT79" s="44"/>
      <c r="KNU79" s="44"/>
      <c r="KNV79" s="44"/>
      <c r="KNW79" s="44"/>
      <c r="KNX79" s="44"/>
      <c r="KNY79" s="44"/>
      <c r="KNZ79" s="44"/>
      <c r="KOA79" s="44"/>
      <c r="KOB79" s="44"/>
      <c r="KOC79" s="44"/>
      <c r="KOD79" s="44"/>
      <c r="KOE79" s="44"/>
      <c r="KOF79" s="44"/>
      <c r="KOG79" s="44"/>
      <c r="KOH79" s="44"/>
      <c r="KOI79" s="44"/>
      <c r="KOJ79" s="44"/>
      <c r="KOK79" s="44"/>
      <c r="KOL79" s="44"/>
      <c r="KOM79" s="44"/>
      <c r="KON79" s="44"/>
      <c r="KOO79" s="44"/>
      <c r="KOP79" s="44"/>
      <c r="KOQ79" s="44"/>
      <c r="KOR79" s="44"/>
      <c r="KOS79" s="44"/>
      <c r="KOT79" s="44"/>
      <c r="KOU79" s="44"/>
      <c r="KOV79" s="44"/>
      <c r="KOW79" s="44"/>
      <c r="KOX79" s="44"/>
      <c r="KOY79" s="44"/>
      <c r="KOZ79" s="44"/>
      <c r="KPA79" s="44"/>
      <c r="KPB79" s="44"/>
      <c r="KPC79" s="44"/>
      <c r="KPD79" s="44"/>
      <c r="KPE79" s="44"/>
      <c r="KPF79" s="44"/>
      <c r="KPG79" s="44"/>
      <c r="KPH79" s="44"/>
      <c r="KPI79" s="44"/>
      <c r="KPJ79" s="44"/>
      <c r="KPK79" s="44"/>
      <c r="KPL79" s="44"/>
      <c r="KPM79" s="44"/>
      <c r="KPN79" s="44"/>
      <c r="KPO79" s="44"/>
      <c r="KPP79" s="44"/>
      <c r="KPQ79" s="44"/>
      <c r="KPR79" s="44"/>
      <c r="KPS79" s="44"/>
      <c r="KPT79" s="44"/>
      <c r="KPU79" s="44"/>
      <c r="KPV79" s="44"/>
      <c r="KPW79" s="44"/>
      <c r="KPX79" s="44"/>
      <c r="KPY79" s="44"/>
      <c r="KPZ79" s="44"/>
      <c r="KQA79" s="44"/>
      <c r="KQB79" s="44"/>
      <c r="KQC79" s="44"/>
      <c r="KQD79" s="44"/>
      <c r="KQE79" s="44"/>
      <c r="KQF79" s="44"/>
      <c r="KQG79" s="44"/>
      <c r="KQH79" s="44"/>
      <c r="KQI79" s="44"/>
      <c r="KQJ79" s="44"/>
      <c r="KQK79" s="44"/>
      <c r="KQL79" s="44"/>
      <c r="KQM79" s="44"/>
      <c r="KQN79" s="44"/>
      <c r="KQO79" s="44"/>
      <c r="KQP79" s="44"/>
      <c r="KQQ79" s="44"/>
      <c r="KQR79" s="44"/>
      <c r="KQS79" s="44"/>
      <c r="KQT79" s="44"/>
      <c r="KQU79" s="44"/>
      <c r="KQV79" s="44"/>
      <c r="KQW79" s="44"/>
      <c r="KQX79" s="44"/>
      <c r="KQY79" s="44"/>
      <c r="KQZ79" s="44"/>
      <c r="KRA79" s="44"/>
      <c r="KRB79" s="44"/>
      <c r="KRC79" s="44"/>
      <c r="KRD79" s="44"/>
      <c r="KRE79" s="44"/>
      <c r="KRF79" s="44"/>
      <c r="KRG79" s="44"/>
      <c r="KRH79" s="44"/>
      <c r="KRI79" s="44"/>
      <c r="KRJ79" s="44"/>
      <c r="KRK79" s="44"/>
      <c r="KRL79" s="44"/>
      <c r="KRM79" s="44"/>
      <c r="KRN79" s="44"/>
      <c r="KRO79" s="44"/>
      <c r="KRP79" s="44"/>
      <c r="KRQ79" s="44"/>
      <c r="KRR79" s="44"/>
      <c r="KRS79" s="44"/>
      <c r="KRT79" s="44"/>
      <c r="KRU79" s="44"/>
      <c r="KRV79" s="44"/>
      <c r="KRW79" s="44"/>
      <c r="KRX79" s="44"/>
      <c r="KRY79" s="44"/>
      <c r="KRZ79" s="44"/>
      <c r="KSA79" s="44"/>
      <c r="KSB79" s="44"/>
      <c r="KSC79" s="44"/>
      <c r="KSD79" s="44"/>
      <c r="KSE79" s="44"/>
      <c r="KSF79" s="44"/>
      <c r="KSG79" s="44"/>
      <c r="KSH79" s="44"/>
      <c r="KSI79" s="44"/>
      <c r="KSJ79" s="44"/>
      <c r="KSK79" s="44"/>
      <c r="KSL79" s="44"/>
      <c r="KSM79" s="44"/>
      <c r="KSN79" s="44"/>
      <c r="KSO79" s="44"/>
      <c r="KSP79" s="44"/>
      <c r="KSQ79" s="44"/>
      <c r="KSR79" s="44"/>
      <c r="KSS79" s="44"/>
      <c r="KST79" s="44"/>
      <c r="KSU79" s="44"/>
      <c r="KSV79" s="44"/>
      <c r="KSW79" s="44"/>
      <c r="KSX79" s="44"/>
      <c r="KSY79" s="44"/>
      <c r="KSZ79" s="44"/>
      <c r="KTA79" s="44"/>
      <c r="KTB79" s="44"/>
      <c r="KTC79" s="44"/>
      <c r="KTD79" s="44"/>
      <c r="KTE79" s="44"/>
      <c r="KTF79" s="44"/>
      <c r="KTG79" s="44"/>
      <c r="KTH79" s="44"/>
      <c r="KTI79" s="44"/>
      <c r="KTJ79" s="44"/>
      <c r="KTK79" s="44"/>
      <c r="KTL79" s="44"/>
      <c r="KTM79" s="44"/>
      <c r="KTN79" s="44"/>
      <c r="KTO79" s="44"/>
      <c r="KTP79" s="44"/>
      <c r="KTQ79" s="44"/>
      <c r="KTR79" s="44"/>
      <c r="KTS79" s="44"/>
      <c r="KTT79" s="44"/>
      <c r="KTU79" s="44"/>
      <c r="KTV79" s="44"/>
      <c r="KTW79" s="44"/>
      <c r="KTX79" s="44"/>
      <c r="KTY79" s="44"/>
      <c r="KTZ79" s="44"/>
      <c r="KUA79" s="44"/>
      <c r="KUB79" s="44"/>
      <c r="KUC79" s="44"/>
      <c r="KUD79" s="44"/>
      <c r="KUE79" s="44"/>
      <c r="KUF79" s="44"/>
      <c r="KUG79" s="44"/>
      <c r="KUH79" s="44"/>
      <c r="KUI79" s="44"/>
      <c r="KUJ79" s="44"/>
      <c r="KUK79" s="44"/>
      <c r="KUL79" s="44"/>
      <c r="KUM79" s="44"/>
      <c r="KUN79" s="44"/>
      <c r="KUO79" s="44"/>
      <c r="KUP79" s="44"/>
      <c r="KUQ79" s="44"/>
      <c r="KUR79" s="44"/>
      <c r="KUS79" s="44"/>
      <c r="KUT79" s="44"/>
      <c r="KUU79" s="44"/>
      <c r="KUV79" s="44"/>
      <c r="KUW79" s="44"/>
      <c r="KUX79" s="44"/>
      <c r="KUY79" s="44"/>
      <c r="KUZ79" s="44"/>
      <c r="KVA79" s="44"/>
      <c r="KVB79" s="44"/>
      <c r="KVC79" s="44"/>
      <c r="KVD79" s="44"/>
      <c r="KVE79" s="44"/>
      <c r="KVF79" s="44"/>
      <c r="KVG79" s="44"/>
      <c r="KVH79" s="44"/>
      <c r="KVI79" s="44"/>
      <c r="KVJ79" s="44"/>
      <c r="KVK79" s="44"/>
      <c r="KVL79" s="44"/>
      <c r="KVM79" s="44"/>
      <c r="KVN79" s="44"/>
      <c r="KVO79" s="44"/>
      <c r="KVP79" s="44"/>
      <c r="KVQ79" s="44"/>
      <c r="KVR79" s="44"/>
      <c r="KVS79" s="44"/>
      <c r="KVT79" s="44"/>
      <c r="KVU79" s="44"/>
      <c r="KVV79" s="44"/>
      <c r="KVW79" s="44"/>
      <c r="KVX79" s="44"/>
      <c r="KVY79" s="44"/>
      <c r="KVZ79" s="44"/>
      <c r="KWA79" s="44"/>
      <c r="KWB79" s="44"/>
      <c r="KWC79" s="44"/>
      <c r="KWD79" s="44"/>
      <c r="KWE79" s="44"/>
      <c r="KWF79" s="44"/>
      <c r="KWG79" s="44"/>
      <c r="KWH79" s="44"/>
      <c r="KWI79" s="44"/>
      <c r="KWJ79" s="44"/>
      <c r="KWK79" s="44"/>
      <c r="KWL79" s="44"/>
      <c r="KWM79" s="44"/>
      <c r="KWN79" s="44"/>
      <c r="KWO79" s="44"/>
      <c r="KWP79" s="44"/>
      <c r="KWQ79" s="44"/>
      <c r="KWR79" s="44"/>
      <c r="KWS79" s="44"/>
      <c r="KWT79" s="44"/>
      <c r="KWU79" s="44"/>
      <c r="KWV79" s="44"/>
      <c r="KWW79" s="44"/>
      <c r="KWX79" s="44"/>
      <c r="KWY79" s="44"/>
      <c r="KWZ79" s="44"/>
      <c r="KXA79" s="44"/>
      <c r="KXB79" s="44"/>
      <c r="KXC79" s="44"/>
      <c r="KXD79" s="44"/>
      <c r="KXE79" s="44"/>
      <c r="KXF79" s="44"/>
      <c r="KXG79" s="44"/>
      <c r="KXH79" s="44"/>
      <c r="KXI79" s="44"/>
      <c r="KXJ79" s="44"/>
      <c r="KXK79" s="44"/>
      <c r="KXL79" s="44"/>
      <c r="KXM79" s="44"/>
      <c r="KXN79" s="44"/>
      <c r="KXO79" s="44"/>
      <c r="KXP79" s="44"/>
      <c r="KXQ79" s="44"/>
      <c r="KXR79" s="44"/>
      <c r="KXS79" s="44"/>
      <c r="KXT79" s="44"/>
      <c r="KXU79" s="44"/>
      <c r="KXV79" s="44"/>
      <c r="KXW79" s="44"/>
      <c r="KXX79" s="44"/>
      <c r="KXY79" s="44"/>
      <c r="KXZ79" s="44"/>
      <c r="KYA79" s="44"/>
      <c r="KYB79" s="44"/>
      <c r="KYC79" s="44"/>
      <c r="KYD79" s="44"/>
      <c r="KYE79" s="44"/>
      <c r="KYF79" s="44"/>
      <c r="KYG79" s="44"/>
      <c r="KYH79" s="44"/>
      <c r="KYI79" s="44"/>
      <c r="KYJ79" s="44"/>
      <c r="KYK79" s="44"/>
      <c r="KYL79" s="44"/>
      <c r="KYM79" s="44"/>
      <c r="KYN79" s="44"/>
      <c r="KYO79" s="44"/>
      <c r="KYP79" s="44"/>
      <c r="KYQ79" s="44"/>
      <c r="KYR79" s="44"/>
      <c r="KYS79" s="44"/>
      <c r="KYT79" s="44"/>
      <c r="KYU79" s="44"/>
      <c r="KYV79" s="44"/>
      <c r="KYW79" s="44"/>
      <c r="KYX79" s="44"/>
      <c r="KYY79" s="44"/>
      <c r="KYZ79" s="44"/>
      <c r="KZA79" s="44"/>
      <c r="KZB79" s="44"/>
      <c r="KZC79" s="44"/>
      <c r="KZD79" s="44"/>
      <c r="KZE79" s="44"/>
      <c r="KZF79" s="44"/>
      <c r="KZG79" s="44"/>
      <c r="KZH79" s="44"/>
      <c r="KZI79" s="44"/>
      <c r="KZJ79" s="44"/>
      <c r="KZK79" s="44"/>
      <c r="KZL79" s="44"/>
      <c r="KZM79" s="44"/>
      <c r="KZN79" s="44"/>
      <c r="KZO79" s="44"/>
      <c r="KZP79" s="44"/>
      <c r="KZQ79" s="44"/>
      <c r="KZR79" s="44"/>
      <c r="KZS79" s="44"/>
      <c r="KZT79" s="44"/>
      <c r="KZU79" s="44"/>
      <c r="KZV79" s="44"/>
      <c r="KZW79" s="44"/>
      <c r="KZX79" s="44"/>
      <c r="KZY79" s="44"/>
      <c r="KZZ79" s="44"/>
      <c r="LAA79" s="44"/>
      <c r="LAB79" s="44"/>
      <c r="LAC79" s="44"/>
      <c r="LAD79" s="44"/>
      <c r="LAE79" s="44"/>
      <c r="LAF79" s="44"/>
      <c r="LAG79" s="44"/>
      <c r="LAH79" s="44"/>
      <c r="LAI79" s="44"/>
      <c r="LAJ79" s="44"/>
      <c r="LAK79" s="44"/>
      <c r="LAL79" s="44"/>
      <c r="LAM79" s="44"/>
      <c r="LAN79" s="44"/>
      <c r="LAO79" s="44"/>
      <c r="LAP79" s="44"/>
      <c r="LAQ79" s="44"/>
      <c r="LAR79" s="44"/>
      <c r="LAS79" s="44"/>
      <c r="LAT79" s="44"/>
      <c r="LAU79" s="44"/>
      <c r="LAV79" s="44"/>
      <c r="LAW79" s="44"/>
      <c r="LAX79" s="44"/>
      <c r="LAY79" s="44"/>
      <c r="LAZ79" s="44"/>
      <c r="LBA79" s="44"/>
      <c r="LBB79" s="44"/>
      <c r="LBC79" s="44"/>
      <c r="LBD79" s="44"/>
      <c r="LBE79" s="44"/>
      <c r="LBF79" s="44"/>
      <c r="LBG79" s="44"/>
      <c r="LBH79" s="44"/>
      <c r="LBI79" s="44"/>
      <c r="LBJ79" s="44"/>
      <c r="LBK79" s="44"/>
      <c r="LBL79" s="44"/>
      <c r="LBM79" s="44"/>
      <c r="LBN79" s="44"/>
      <c r="LBO79" s="44"/>
      <c r="LBP79" s="44"/>
      <c r="LBQ79" s="44"/>
      <c r="LBR79" s="44"/>
      <c r="LBS79" s="44"/>
      <c r="LBT79" s="44"/>
      <c r="LBU79" s="44"/>
      <c r="LBV79" s="44"/>
      <c r="LBW79" s="44"/>
      <c r="LBX79" s="44"/>
      <c r="LBY79" s="44"/>
      <c r="LBZ79" s="44"/>
      <c r="LCA79" s="44"/>
      <c r="LCB79" s="44"/>
      <c r="LCC79" s="44"/>
      <c r="LCD79" s="44"/>
      <c r="LCE79" s="44"/>
      <c r="LCF79" s="44"/>
      <c r="LCG79" s="44"/>
      <c r="LCH79" s="44"/>
      <c r="LCI79" s="44"/>
      <c r="LCJ79" s="44"/>
      <c r="LCK79" s="44"/>
      <c r="LCL79" s="44"/>
      <c r="LCM79" s="44"/>
      <c r="LCN79" s="44"/>
      <c r="LCO79" s="44"/>
      <c r="LCP79" s="44"/>
      <c r="LCQ79" s="44"/>
      <c r="LCR79" s="44"/>
      <c r="LCS79" s="44"/>
      <c r="LCT79" s="44"/>
      <c r="LCU79" s="44"/>
      <c r="LCV79" s="44"/>
      <c r="LCW79" s="44"/>
      <c r="LCX79" s="44"/>
      <c r="LCY79" s="44"/>
      <c r="LCZ79" s="44"/>
      <c r="LDA79" s="44"/>
      <c r="LDB79" s="44"/>
      <c r="LDC79" s="44"/>
      <c r="LDD79" s="44"/>
      <c r="LDE79" s="44"/>
      <c r="LDF79" s="44"/>
      <c r="LDG79" s="44"/>
      <c r="LDH79" s="44"/>
      <c r="LDI79" s="44"/>
      <c r="LDJ79" s="44"/>
      <c r="LDK79" s="44"/>
      <c r="LDL79" s="44"/>
      <c r="LDM79" s="44"/>
      <c r="LDN79" s="44"/>
      <c r="LDO79" s="44"/>
      <c r="LDP79" s="44"/>
      <c r="LDQ79" s="44"/>
      <c r="LDR79" s="44"/>
      <c r="LDS79" s="44"/>
      <c r="LDT79" s="44"/>
      <c r="LDU79" s="44"/>
      <c r="LDV79" s="44"/>
      <c r="LDW79" s="44"/>
      <c r="LDX79" s="44"/>
      <c r="LDY79" s="44"/>
      <c r="LDZ79" s="44"/>
      <c r="LEA79" s="44"/>
      <c r="LEB79" s="44"/>
      <c r="LEC79" s="44"/>
      <c r="LED79" s="44"/>
      <c r="LEE79" s="44"/>
      <c r="LEF79" s="44"/>
      <c r="LEG79" s="44"/>
      <c r="LEH79" s="44"/>
      <c r="LEI79" s="44"/>
      <c r="LEJ79" s="44"/>
      <c r="LEK79" s="44"/>
      <c r="LEL79" s="44"/>
      <c r="LEM79" s="44"/>
      <c r="LEN79" s="44"/>
      <c r="LEO79" s="44"/>
      <c r="LEP79" s="44"/>
      <c r="LEQ79" s="44"/>
      <c r="LER79" s="44"/>
      <c r="LES79" s="44"/>
      <c r="LET79" s="44"/>
      <c r="LEU79" s="44"/>
      <c r="LEV79" s="44"/>
      <c r="LEW79" s="44"/>
      <c r="LEX79" s="44"/>
      <c r="LEY79" s="44"/>
      <c r="LEZ79" s="44"/>
      <c r="LFA79" s="44"/>
      <c r="LFB79" s="44"/>
      <c r="LFC79" s="44"/>
      <c r="LFD79" s="44"/>
      <c r="LFE79" s="44"/>
      <c r="LFF79" s="44"/>
      <c r="LFG79" s="44"/>
      <c r="LFH79" s="44"/>
      <c r="LFI79" s="44"/>
      <c r="LFJ79" s="44"/>
      <c r="LFK79" s="44"/>
      <c r="LFL79" s="44"/>
      <c r="LFM79" s="44"/>
      <c r="LFN79" s="44"/>
      <c r="LFO79" s="44"/>
      <c r="LFP79" s="44"/>
      <c r="LFQ79" s="44"/>
      <c r="LFR79" s="44"/>
      <c r="LFS79" s="44"/>
      <c r="LFT79" s="44"/>
      <c r="LFU79" s="44"/>
      <c r="LFV79" s="44"/>
      <c r="LFW79" s="44"/>
      <c r="LFX79" s="44"/>
      <c r="LFY79" s="44"/>
      <c r="LFZ79" s="44"/>
      <c r="LGA79" s="44"/>
      <c r="LGB79" s="44"/>
      <c r="LGC79" s="44"/>
      <c r="LGD79" s="44"/>
      <c r="LGE79" s="44"/>
      <c r="LGF79" s="44"/>
      <c r="LGG79" s="44"/>
      <c r="LGH79" s="44"/>
      <c r="LGI79" s="44"/>
      <c r="LGJ79" s="44"/>
      <c r="LGK79" s="44"/>
      <c r="LGL79" s="44"/>
      <c r="LGM79" s="44"/>
      <c r="LGN79" s="44"/>
      <c r="LGO79" s="44"/>
      <c r="LGP79" s="44"/>
      <c r="LGQ79" s="44"/>
      <c r="LGR79" s="44"/>
      <c r="LGS79" s="44"/>
      <c r="LGT79" s="44"/>
      <c r="LGU79" s="44"/>
      <c r="LGV79" s="44"/>
      <c r="LGW79" s="44"/>
      <c r="LGX79" s="44"/>
      <c r="LGY79" s="44"/>
      <c r="LGZ79" s="44"/>
      <c r="LHA79" s="44"/>
      <c r="LHB79" s="44"/>
      <c r="LHC79" s="44"/>
      <c r="LHD79" s="44"/>
      <c r="LHE79" s="44"/>
      <c r="LHF79" s="44"/>
      <c r="LHG79" s="44"/>
      <c r="LHH79" s="44"/>
      <c r="LHI79" s="44"/>
      <c r="LHJ79" s="44"/>
      <c r="LHK79" s="44"/>
      <c r="LHL79" s="44"/>
      <c r="LHM79" s="44"/>
      <c r="LHN79" s="44"/>
      <c r="LHO79" s="44"/>
      <c r="LHP79" s="44"/>
      <c r="LHQ79" s="44"/>
      <c r="LHR79" s="44"/>
      <c r="LHS79" s="44"/>
      <c r="LHT79" s="44"/>
      <c r="LHU79" s="44"/>
      <c r="LHV79" s="44"/>
      <c r="LHW79" s="44"/>
      <c r="LHX79" s="44"/>
      <c r="LHY79" s="44"/>
      <c r="LHZ79" s="44"/>
      <c r="LIA79" s="44"/>
      <c r="LIB79" s="44"/>
      <c r="LIC79" s="44"/>
      <c r="LID79" s="44"/>
      <c r="LIE79" s="44"/>
      <c r="LIF79" s="44"/>
      <c r="LIG79" s="44"/>
      <c r="LIH79" s="44"/>
      <c r="LII79" s="44"/>
      <c r="LIJ79" s="44"/>
      <c r="LIK79" s="44"/>
      <c r="LIL79" s="44"/>
      <c r="LIM79" s="44"/>
      <c r="LIN79" s="44"/>
      <c r="LIO79" s="44"/>
      <c r="LIP79" s="44"/>
      <c r="LIQ79" s="44"/>
      <c r="LIR79" s="44"/>
      <c r="LIS79" s="44"/>
      <c r="LIT79" s="44"/>
      <c r="LIU79" s="44"/>
      <c r="LIV79" s="44"/>
      <c r="LIW79" s="44"/>
      <c r="LIX79" s="44"/>
      <c r="LIY79" s="44"/>
      <c r="LIZ79" s="44"/>
      <c r="LJA79" s="44"/>
      <c r="LJB79" s="44"/>
      <c r="LJC79" s="44"/>
      <c r="LJD79" s="44"/>
      <c r="LJE79" s="44"/>
      <c r="LJF79" s="44"/>
      <c r="LJG79" s="44"/>
      <c r="LJH79" s="44"/>
      <c r="LJI79" s="44"/>
      <c r="LJJ79" s="44"/>
      <c r="LJK79" s="44"/>
      <c r="LJL79" s="44"/>
      <c r="LJM79" s="44"/>
      <c r="LJN79" s="44"/>
      <c r="LJO79" s="44"/>
      <c r="LJP79" s="44"/>
      <c r="LJQ79" s="44"/>
      <c r="LJR79" s="44"/>
      <c r="LJS79" s="44"/>
      <c r="LJT79" s="44"/>
      <c r="LJU79" s="44"/>
      <c r="LJV79" s="44"/>
      <c r="LJW79" s="44"/>
      <c r="LJX79" s="44"/>
      <c r="LJY79" s="44"/>
      <c r="LJZ79" s="44"/>
      <c r="LKA79" s="44"/>
      <c r="LKB79" s="44"/>
      <c r="LKC79" s="44"/>
      <c r="LKD79" s="44"/>
      <c r="LKE79" s="44"/>
      <c r="LKF79" s="44"/>
      <c r="LKG79" s="44"/>
      <c r="LKH79" s="44"/>
      <c r="LKI79" s="44"/>
      <c r="LKJ79" s="44"/>
      <c r="LKK79" s="44"/>
      <c r="LKL79" s="44"/>
      <c r="LKM79" s="44"/>
      <c r="LKN79" s="44"/>
      <c r="LKO79" s="44"/>
      <c r="LKP79" s="44"/>
      <c r="LKQ79" s="44"/>
      <c r="LKR79" s="44"/>
      <c r="LKS79" s="44"/>
      <c r="LKT79" s="44"/>
      <c r="LKU79" s="44"/>
      <c r="LKV79" s="44"/>
      <c r="LKW79" s="44"/>
      <c r="LKX79" s="44"/>
      <c r="LKY79" s="44"/>
      <c r="LKZ79" s="44"/>
      <c r="LLA79" s="44"/>
      <c r="LLB79" s="44"/>
      <c r="LLC79" s="44"/>
      <c r="LLD79" s="44"/>
      <c r="LLE79" s="44"/>
      <c r="LLF79" s="44"/>
      <c r="LLG79" s="44"/>
      <c r="LLH79" s="44"/>
      <c r="LLI79" s="44"/>
      <c r="LLJ79" s="44"/>
      <c r="LLK79" s="44"/>
      <c r="LLL79" s="44"/>
      <c r="LLM79" s="44"/>
      <c r="LLN79" s="44"/>
      <c r="LLO79" s="44"/>
      <c r="LLP79" s="44"/>
      <c r="LLQ79" s="44"/>
      <c r="LLR79" s="44"/>
      <c r="LLS79" s="44"/>
      <c r="LLT79" s="44"/>
      <c r="LLU79" s="44"/>
      <c r="LLV79" s="44"/>
      <c r="LLW79" s="44"/>
      <c r="LLX79" s="44"/>
      <c r="LLY79" s="44"/>
      <c r="LLZ79" s="44"/>
      <c r="LMA79" s="44"/>
      <c r="LMB79" s="44"/>
      <c r="LMC79" s="44"/>
      <c r="LMD79" s="44"/>
      <c r="LME79" s="44"/>
      <c r="LMF79" s="44"/>
      <c r="LMG79" s="44"/>
      <c r="LMH79" s="44"/>
      <c r="LMI79" s="44"/>
      <c r="LMJ79" s="44"/>
      <c r="LMK79" s="44"/>
      <c r="LML79" s="44"/>
      <c r="LMM79" s="44"/>
      <c r="LMN79" s="44"/>
      <c r="LMO79" s="44"/>
      <c r="LMP79" s="44"/>
      <c r="LMQ79" s="44"/>
      <c r="LMR79" s="44"/>
      <c r="LMS79" s="44"/>
      <c r="LMT79" s="44"/>
      <c r="LMU79" s="44"/>
      <c r="LMV79" s="44"/>
      <c r="LMW79" s="44"/>
      <c r="LMX79" s="44"/>
      <c r="LMY79" s="44"/>
      <c r="LMZ79" s="44"/>
      <c r="LNA79" s="44"/>
      <c r="LNB79" s="44"/>
      <c r="LNC79" s="44"/>
      <c r="LND79" s="44"/>
      <c r="LNE79" s="44"/>
      <c r="LNF79" s="44"/>
      <c r="LNG79" s="44"/>
      <c r="LNH79" s="44"/>
      <c r="LNI79" s="44"/>
      <c r="LNJ79" s="44"/>
      <c r="LNK79" s="44"/>
      <c r="LNL79" s="44"/>
      <c r="LNM79" s="44"/>
      <c r="LNN79" s="44"/>
      <c r="LNO79" s="44"/>
      <c r="LNP79" s="44"/>
      <c r="LNQ79" s="44"/>
      <c r="LNR79" s="44"/>
      <c r="LNS79" s="44"/>
      <c r="LNT79" s="44"/>
      <c r="LNU79" s="44"/>
      <c r="LNV79" s="44"/>
      <c r="LNW79" s="44"/>
      <c r="LNX79" s="44"/>
      <c r="LNY79" s="44"/>
      <c r="LNZ79" s="44"/>
      <c r="LOA79" s="44"/>
      <c r="LOB79" s="44"/>
      <c r="LOC79" s="44"/>
      <c r="LOD79" s="44"/>
      <c r="LOE79" s="44"/>
      <c r="LOF79" s="44"/>
      <c r="LOG79" s="44"/>
      <c r="LOH79" s="44"/>
      <c r="LOI79" s="44"/>
      <c r="LOJ79" s="44"/>
      <c r="LOK79" s="44"/>
      <c r="LOL79" s="44"/>
      <c r="LOM79" s="44"/>
      <c r="LON79" s="44"/>
      <c r="LOO79" s="44"/>
      <c r="LOP79" s="44"/>
      <c r="LOQ79" s="44"/>
      <c r="LOR79" s="44"/>
      <c r="LOS79" s="44"/>
      <c r="LOT79" s="44"/>
      <c r="LOU79" s="44"/>
      <c r="LOV79" s="44"/>
      <c r="LOW79" s="44"/>
      <c r="LOX79" s="44"/>
      <c r="LOY79" s="44"/>
      <c r="LOZ79" s="44"/>
      <c r="LPA79" s="44"/>
      <c r="LPB79" s="44"/>
      <c r="LPC79" s="44"/>
      <c r="LPD79" s="44"/>
      <c r="LPE79" s="44"/>
      <c r="LPF79" s="44"/>
      <c r="LPG79" s="44"/>
      <c r="LPH79" s="44"/>
      <c r="LPI79" s="44"/>
      <c r="LPJ79" s="44"/>
      <c r="LPK79" s="44"/>
      <c r="LPL79" s="44"/>
      <c r="LPM79" s="44"/>
      <c r="LPN79" s="44"/>
      <c r="LPO79" s="44"/>
      <c r="LPP79" s="44"/>
      <c r="LPQ79" s="44"/>
      <c r="LPR79" s="44"/>
      <c r="LPS79" s="44"/>
      <c r="LPT79" s="44"/>
      <c r="LPU79" s="44"/>
      <c r="LPV79" s="44"/>
      <c r="LPW79" s="44"/>
      <c r="LPX79" s="44"/>
      <c r="LPY79" s="44"/>
      <c r="LPZ79" s="44"/>
      <c r="LQA79" s="44"/>
      <c r="LQB79" s="44"/>
      <c r="LQC79" s="44"/>
      <c r="LQD79" s="44"/>
      <c r="LQE79" s="44"/>
      <c r="LQF79" s="44"/>
      <c r="LQG79" s="44"/>
      <c r="LQH79" s="44"/>
      <c r="LQI79" s="44"/>
      <c r="LQJ79" s="44"/>
      <c r="LQK79" s="44"/>
      <c r="LQL79" s="44"/>
      <c r="LQM79" s="44"/>
      <c r="LQN79" s="44"/>
      <c r="LQO79" s="44"/>
      <c r="LQP79" s="44"/>
      <c r="LQQ79" s="44"/>
      <c r="LQR79" s="44"/>
      <c r="LQS79" s="44"/>
      <c r="LQT79" s="44"/>
      <c r="LQU79" s="44"/>
      <c r="LQV79" s="44"/>
      <c r="LQW79" s="44"/>
      <c r="LQX79" s="44"/>
      <c r="LQY79" s="44"/>
      <c r="LQZ79" s="44"/>
      <c r="LRA79" s="44"/>
      <c r="LRB79" s="44"/>
      <c r="LRC79" s="44"/>
      <c r="LRD79" s="44"/>
      <c r="LRE79" s="44"/>
      <c r="LRF79" s="44"/>
      <c r="LRG79" s="44"/>
      <c r="LRH79" s="44"/>
      <c r="LRI79" s="44"/>
      <c r="LRJ79" s="44"/>
      <c r="LRK79" s="44"/>
      <c r="LRL79" s="44"/>
      <c r="LRM79" s="44"/>
      <c r="LRN79" s="44"/>
      <c r="LRO79" s="44"/>
      <c r="LRP79" s="44"/>
      <c r="LRQ79" s="44"/>
      <c r="LRR79" s="44"/>
      <c r="LRS79" s="44"/>
      <c r="LRT79" s="44"/>
      <c r="LRU79" s="44"/>
      <c r="LRV79" s="44"/>
      <c r="LRW79" s="44"/>
      <c r="LRX79" s="44"/>
      <c r="LRY79" s="44"/>
      <c r="LRZ79" s="44"/>
      <c r="LSA79" s="44"/>
      <c r="LSB79" s="44"/>
      <c r="LSC79" s="44"/>
      <c r="LSD79" s="44"/>
      <c r="LSE79" s="44"/>
      <c r="LSF79" s="44"/>
      <c r="LSG79" s="44"/>
      <c r="LSH79" s="44"/>
      <c r="LSI79" s="44"/>
      <c r="LSJ79" s="44"/>
      <c r="LSK79" s="44"/>
      <c r="LSL79" s="44"/>
      <c r="LSM79" s="44"/>
      <c r="LSN79" s="44"/>
      <c r="LSO79" s="44"/>
      <c r="LSP79" s="44"/>
      <c r="LSQ79" s="44"/>
      <c r="LSR79" s="44"/>
      <c r="LSS79" s="44"/>
      <c r="LST79" s="44"/>
      <c r="LSU79" s="44"/>
      <c r="LSV79" s="44"/>
      <c r="LSW79" s="44"/>
      <c r="LSX79" s="44"/>
      <c r="LSY79" s="44"/>
      <c r="LSZ79" s="44"/>
      <c r="LTA79" s="44"/>
      <c r="LTB79" s="44"/>
      <c r="LTC79" s="44"/>
      <c r="LTD79" s="44"/>
      <c r="LTE79" s="44"/>
      <c r="LTF79" s="44"/>
      <c r="LTG79" s="44"/>
      <c r="LTH79" s="44"/>
      <c r="LTI79" s="44"/>
      <c r="LTJ79" s="44"/>
      <c r="LTK79" s="44"/>
      <c r="LTL79" s="44"/>
      <c r="LTM79" s="44"/>
      <c r="LTN79" s="44"/>
      <c r="LTO79" s="44"/>
      <c r="LTP79" s="44"/>
      <c r="LTQ79" s="44"/>
      <c r="LTR79" s="44"/>
      <c r="LTS79" s="44"/>
      <c r="LTT79" s="44"/>
      <c r="LTU79" s="44"/>
      <c r="LTV79" s="44"/>
      <c r="LTW79" s="44"/>
      <c r="LTX79" s="44"/>
      <c r="LTY79" s="44"/>
      <c r="LTZ79" s="44"/>
      <c r="LUA79" s="44"/>
      <c r="LUB79" s="44"/>
      <c r="LUC79" s="44"/>
      <c r="LUD79" s="44"/>
      <c r="LUE79" s="44"/>
      <c r="LUF79" s="44"/>
      <c r="LUG79" s="44"/>
      <c r="LUH79" s="44"/>
      <c r="LUI79" s="44"/>
      <c r="LUJ79" s="44"/>
      <c r="LUK79" s="44"/>
      <c r="LUL79" s="44"/>
      <c r="LUM79" s="44"/>
      <c r="LUN79" s="44"/>
      <c r="LUO79" s="44"/>
      <c r="LUP79" s="44"/>
      <c r="LUQ79" s="44"/>
      <c r="LUR79" s="44"/>
      <c r="LUS79" s="44"/>
      <c r="LUT79" s="44"/>
      <c r="LUU79" s="44"/>
      <c r="LUV79" s="44"/>
      <c r="LUW79" s="44"/>
      <c r="LUX79" s="44"/>
      <c r="LUY79" s="44"/>
      <c r="LUZ79" s="44"/>
      <c r="LVA79" s="44"/>
      <c r="LVB79" s="44"/>
      <c r="LVC79" s="44"/>
      <c r="LVD79" s="44"/>
      <c r="LVE79" s="44"/>
      <c r="LVF79" s="44"/>
      <c r="LVG79" s="44"/>
      <c r="LVH79" s="44"/>
      <c r="LVI79" s="44"/>
      <c r="LVJ79" s="44"/>
      <c r="LVK79" s="44"/>
      <c r="LVL79" s="44"/>
      <c r="LVM79" s="44"/>
      <c r="LVN79" s="44"/>
      <c r="LVO79" s="44"/>
      <c r="LVP79" s="44"/>
      <c r="LVQ79" s="44"/>
      <c r="LVR79" s="44"/>
      <c r="LVS79" s="44"/>
      <c r="LVT79" s="44"/>
      <c r="LVU79" s="44"/>
      <c r="LVV79" s="44"/>
      <c r="LVW79" s="44"/>
      <c r="LVX79" s="44"/>
      <c r="LVY79" s="44"/>
      <c r="LVZ79" s="44"/>
      <c r="LWA79" s="44"/>
      <c r="LWB79" s="44"/>
      <c r="LWC79" s="44"/>
      <c r="LWD79" s="44"/>
      <c r="LWE79" s="44"/>
      <c r="LWF79" s="44"/>
      <c r="LWG79" s="44"/>
      <c r="LWH79" s="44"/>
      <c r="LWI79" s="44"/>
      <c r="LWJ79" s="44"/>
      <c r="LWK79" s="44"/>
      <c r="LWL79" s="44"/>
      <c r="LWM79" s="44"/>
      <c r="LWN79" s="44"/>
      <c r="LWO79" s="44"/>
      <c r="LWP79" s="44"/>
      <c r="LWQ79" s="44"/>
      <c r="LWR79" s="44"/>
      <c r="LWS79" s="44"/>
      <c r="LWT79" s="44"/>
      <c r="LWU79" s="44"/>
      <c r="LWV79" s="44"/>
      <c r="LWW79" s="44"/>
      <c r="LWX79" s="44"/>
      <c r="LWY79" s="44"/>
      <c r="LWZ79" s="44"/>
      <c r="LXA79" s="44"/>
      <c r="LXB79" s="44"/>
      <c r="LXC79" s="44"/>
      <c r="LXD79" s="44"/>
      <c r="LXE79" s="44"/>
      <c r="LXF79" s="44"/>
      <c r="LXG79" s="44"/>
      <c r="LXH79" s="44"/>
      <c r="LXI79" s="44"/>
      <c r="LXJ79" s="44"/>
      <c r="LXK79" s="44"/>
      <c r="LXL79" s="44"/>
      <c r="LXM79" s="44"/>
      <c r="LXN79" s="44"/>
      <c r="LXO79" s="44"/>
      <c r="LXP79" s="44"/>
      <c r="LXQ79" s="44"/>
      <c r="LXR79" s="44"/>
      <c r="LXS79" s="44"/>
      <c r="LXT79" s="44"/>
      <c r="LXU79" s="44"/>
      <c r="LXV79" s="44"/>
      <c r="LXW79" s="44"/>
      <c r="LXX79" s="44"/>
      <c r="LXY79" s="44"/>
      <c r="LXZ79" s="44"/>
      <c r="LYA79" s="44"/>
      <c r="LYB79" s="44"/>
      <c r="LYC79" s="44"/>
      <c r="LYD79" s="44"/>
      <c r="LYE79" s="44"/>
      <c r="LYF79" s="44"/>
      <c r="LYG79" s="44"/>
      <c r="LYH79" s="44"/>
      <c r="LYI79" s="44"/>
      <c r="LYJ79" s="44"/>
      <c r="LYK79" s="44"/>
      <c r="LYL79" s="44"/>
      <c r="LYM79" s="44"/>
      <c r="LYN79" s="44"/>
      <c r="LYO79" s="44"/>
      <c r="LYP79" s="44"/>
      <c r="LYQ79" s="44"/>
      <c r="LYR79" s="44"/>
      <c r="LYS79" s="44"/>
      <c r="LYT79" s="44"/>
      <c r="LYU79" s="44"/>
      <c r="LYV79" s="44"/>
      <c r="LYW79" s="44"/>
      <c r="LYX79" s="44"/>
      <c r="LYY79" s="44"/>
      <c r="LYZ79" s="44"/>
      <c r="LZA79" s="44"/>
      <c r="LZB79" s="44"/>
      <c r="LZC79" s="44"/>
      <c r="LZD79" s="44"/>
      <c r="LZE79" s="44"/>
      <c r="LZF79" s="44"/>
      <c r="LZG79" s="44"/>
      <c r="LZH79" s="44"/>
      <c r="LZI79" s="44"/>
      <c r="LZJ79" s="44"/>
      <c r="LZK79" s="44"/>
      <c r="LZL79" s="44"/>
      <c r="LZM79" s="44"/>
      <c r="LZN79" s="44"/>
      <c r="LZO79" s="44"/>
      <c r="LZP79" s="44"/>
      <c r="LZQ79" s="44"/>
      <c r="LZR79" s="44"/>
      <c r="LZS79" s="44"/>
      <c r="LZT79" s="44"/>
      <c r="LZU79" s="44"/>
      <c r="LZV79" s="44"/>
      <c r="LZW79" s="44"/>
      <c r="LZX79" s="44"/>
      <c r="LZY79" s="44"/>
      <c r="LZZ79" s="44"/>
      <c r="MAA79" s="44"/>
      <c r="MAB79" s="44"/>
      <c r="MAC79" s="44"/>
      <c r="MAD79" s="44"/>
      <c r="MAE79" s="44"/>
      <c r="MAF79" s="44"/>
      <c r="MAG79" s="44"/>
      <c r="MAH79" s="44"/>
      <c r="MAI79" s="44"/>
      <c r="MAJ79" s="44"/>
      <c r="MAK79" s="44"/>
      <c r="MAL79" s="44"/>
      <c r="MAM79" s="44"/>
      <c r="MAN79" s="44"/>
      <c r="MAO79" s="44"/>
      <c r="MAP79" s="44"/>
      <c r="MAQ79" s="44"/>
      <c r="MAR79" s="44"/>
      <c r="MAS79" s="44"/>
      <c r="MAT79" s="44"/>
      <c r="MAU79" s="44"/>
      <c r="MAV79" s="44"/>
      <c r="MAW79" s="44"/>
      <c r="MAX79" s="44"/>
      <c r="MAY79" s="44"/>
      <c r="MAZ79" s="44"/>
      <c r="MBA79" s="44"/>
      <c r="MBB79" s="44"/>
      <c r="MBC79" s="44"/>
      <c r="MBD79" s="44"/>
      <c r="MBE79" s="44"/>
      <c r="MBF79" s="44"/>
      <c r="MBG79" s="44"/>
      <c r="MBH79" s="44"/>
      <c r="MBI79" s="44"/>
      <c r="MBJ79" s="44"/>
      <c r="MBK79" s="44"/>
      <c r="MBL79" s="44"/>
      <c r="MBM79" s="44"/>
      <c r="MBN79" s="44"/>
      <c r="MBO79" s="44"/>
      <c r="MBP79" s="44"/>
      <c r="MBQ79" s="44"/>
      <c r="MBR79" s="44"/>
      <c r="MBS79" s="44"/>
      <c r="MBT79" s="44"/>
      <c r="MBU79" s="44"/>
      <c r="MBV79" s="44"/>
      <c r="MBW79" s="44"/>
      <c r="MBX79" s="44"/>
      <c r="MBY79" s="44"/>
      <c r="MBZ79" s="44"/>
      <c r="MCA79" s="44"/>
      <c r="MCB79" s="44"/>
      <c r="MCC79" s="44"/>
      <c r="MCD79" s="44"/>
      <c r="MCE79" s="44"/>
      <c r="MCF79" s="44"/>
      <c r="MCG79" s="44"/>
      <c r="MCH79" s="44"/>
      <c r="MCI79" s="44"/>
      <c r="MCJ79" s="44"/>
      <c r="MCK79" s="44"/>
      <c r="MCL79" s="44"/>
      <c r="MCM79" s="44"/>
      <c r="MCN79" s="44"/>
      <c r="MCO79" s="44"/>
      <c r="MCP79" s="44"/>
      <c r="MCQ79" s="44"/>
      <c r="MCR79" s="44"/>
      <c r="MCS79" s="44"/>
      <c r="MCT79" s="44"/>
      <c r="MCU79" s="44"/>
      <c r="MCV79" s="44"/>
      <c r="MCW79" s="44"/>
      <c r="MCX79" s="44"/>
      <c r="MCY79" s="44"/>
      <c r="MCZ79" s="44"/>
      <c r="MDA79" s="44"/>
      <c r="MDB79" s="44"/>
      <c r="MDC79" s="44"/>
      <c r="MDD79" s="44"/>
      <c r="MDE79" s="44"/>
      <c r="MDF79" s="44"/>
      <c r="MDG79" s="44"/>
      <c r="MDH79" s="44"/>
      <c r="MDI79" s="44"/>
      <c r="MDJ79" s="44"/>
      <c r="MDK79" s="44"/>
      <c r="MDL79" s="44"/>
      <c r="MDM79" s="44"/>
      <c r="MDN79" s="44"/>
      <c r="MDO79" s="44"/>
      <c r="MDP79" s="44"/>
      <c r="MDQ79" s="44"/>
      <c r="MDR79" s="44"/>
      <c r="MDS79" s="44"/>
      <c r="MDT79" s="44"/>
      <c r="MDU79" s="44"/>
      <c r="MDV79" s="44"/>
      <c r="MDW79" s="44"/>
      <c r="MDX79" s="44"/>
      <c r="MDY79" s="44"/>
      <c r="MDZ79" s="44"/>
      <c r="MEA79" s="44"/>
      <c r="MEB79" s="44"/>
      <c r="MEC79" s="44"/>
      <c r="MED79" s="44"/>
      <c r="MEE79" s="44"/>
      <c r="MEF79" s="44"/>
      <c r="MEG79" s="44"/>
      <c r="MEH79" s="44"/>
      <c r="MEI79" s="44"/>
      <c r="MEJ79" s="44"/>
      <c r="MEK79" s="44"/>
      <c r="MEL79" s="44"/>
      <c r="MEM79" s="44"/>
      <c r="MEN79" s="44"/>
      <c r="MEO79" s="44"/>
      <c r="MEP79" s="44"/>
      <c r="MEQ79" s="44"/>
      <c r="MER79" s="44"/>
      <c r="MES79" s="44"/>
      <c r="MET79" s="44"/>
      <c r="MEU79" s="44"/>
      <c r="MEV79" s="44"/>
      <c r="MEW79" s="44"/>
      <c r="MEX79" s="44"/>
      <c r="MEY79" s="44"/>
      <c r="MEZ79" s="44"/>
      <c r="MFA79" s="44"/>
      <c r="MFB79" s="44"/>
      <c r="MFC79" s="44"/>
      <c r="MFD79" s="44"/>
      <c r="MFE79" s="44"/>
      <c r="MFF79" s="44"/>
      <c r="MFG79" s="44"/>
      <c r="MFH79" s="44"/>
      <c r="MFI79" s="44"/>
      <c r="MFJ79" s="44"/>
      <c r="MFK79" s="44"/>
      <c r="MFL79" s="44"/>
      <c r="MFM79" s="44"/>
      <c r="MFN79" s="44"/>
      <c r="MFO79" s="44"/>
      <c r="MFP79" s="44"/>
      <c r="MFQ79" s="44"/>
      <c r="MFR79" s="44"/>
      <c r="MFS79" s="44"/>
      <c r="MFT79" s="44"/>
      <c r="MFU79" s="44"/>
      <c r="MFV79" s="44"/>
      <c r="MFW79" s="44"/>
      <c r="MFX79" s="44"/>
      <c r="MFY79" s="44"/>
      <c r="MFZ79" s="44"/>
      <c r="MGA79" s="44"/>
      <c r="MGB79" s="44"/>
      <c r="MGC79" s="44"/>
      <c r="MGD79" s="44"/>
      <c r="MGE79" s="44"/>
      <c r="MGF79" s="44"/>
      <c r="MGG79" s="44"/>
      <c r="MGH79" s="44"/>
      <c r="MGI79" s="44"/>
      <c r="MGJ79" s="44"/>
      <c r="MGK79" s="44"/>
      <c r="MGL79" s="44"/>
      <c r="MGM79" s="44"/>
      <c r="MGN79" s="44"/>
      <c r="MGO79" s="44"/>
      <c r="MGP79" s="44"/>
      <c r="MGQ79" s="44"/>
      <c r="MGR79" s="44"/>
      <c r="MGS79" s="44"/>
      <c r="MGT79" s="44"/>
      <c r="MGU79" s="44"/>
      <c r="MGV79" s="44"/>
      <c r="MGW79" s="44"/>
      <c r="MGX79" s="44"/>
      <c r="MGY79" s="44"/>
      <c r="MGZ79" s="44"/>
      <c r="MHA79" s="44"/>
      <c r="MHB79" s="44"/>
      <c r="MHC79" s="44"/>
      <c r="MHD79" s="44"/>
      <c r="MHE79" s="44"/>
      <c r="MHF79" s="44"/>
      <c r="MHG79" s="44"/>
      <c r="MHH79" s="44"/>
      <c r="MHI79" s="44"/>
      <c r="MHJ79" s="44"/>
      <c r="MHK79" s="44"/>
      <c r="MHL79" s="44"/>
      <c r="MHM79" s="44"/>
      <c r="MHN79" s="44"/>
      <c r="MHO79" s="44"/>
      <c r="MHP79" s="44"/>
      <c r="MHQ79" s="44"/>
      <c r="MHR79" s="44"/>
      <c r="MHS79" s="44"/>
      <c r="MHT79" s="44"/>
      <c r="MHU79" s="44"/>
      <c r="MHV79" s="44"/>
      <c r="MHW79" s="44"/>
      <c r="MHX79" s="44"/>
      <c r="MHY79" s="44"/>
      <c r="MHZ79" s="44"/>
      <c r="MIA79" s="44"/>
      <c r="MIB79" s="44"/>
      <c r="MIC79" s="44"/>
      <c r="MID79" s="44"/>
      <c r="MIE79" s="44"/>
      <c r="MIF79" s="44"/>
      <c r="MIG79" s="44"/>
      <c r="MIH79" s="44"/>
      <c r="MII79" s="44"/>
      <c r="MIJ79" s="44"/>
      <c r="MIK79" s="44"/>
      <c r="MIL79" s="44"/>
      <c r="MIM79" s="44"/>
      <c r="MIN79" s="44"/>
      <c r="MIO79" s="44"/>
      <c r="MIP79" s="44"/>
      <c r="MIQ79" s="44"/>
      <c r="MIR79" s="44"/>
      <c r="MIS79" s="44"/>
      <c r="MIT79" s="44"/>
      <c r="MIU79" s="44"/>
      <c r="MIV79" s="44"/>
      <c r="MIW79" s="44"/>
      <c r="MIX79" s="44"/>
      <c r="MIY79" s="44"/>
      <c r="MIZ79" s="44"/>
      <c r="MJA79" s="44"/>
      <c r="MJB79" s="44"/>
      <c r="MJC79" s="44"/>
      <c r="MJD79" s="44"/>
      <c r="MJE79" s="44"/>
      <c r="MJF79" s="44"/>
      <c r="MJG79" s="44"/>
      <c r="MJH79" s="44"/>
      <c r="MJI79" s="44"/>
      <c r="MJJ79" s="44"/>
      <c r="MJK79" s="44"/>
      <c r="MJL79" s="44"/>
      <c r="MJM79" s="44"/>
      <c r="MJN79" s="44"/>
      <c r="MJO79" s="44"/>
      <c r="MJP79" s="44"/>
      <c r="MJQ79" s="44"/>
      <c r="MJR79" s="44"/>
      <c r="MJS79" s="44"/>
      <c r="MJT79" s="44"/>
      <c r="MJU79" s="44"/>
      <c r="MJV79" s="44"/>
      <c r="MJW79" s="44"/>
      <c r="MJX79" s="44"/>
      <c r="MJY79" s="44"/>
      <c r="MJZ79" s="44"/>
      <c r="MKA79" s="44"/>
      <c r="MKB79" s="44"/>
      <c r="MKC79" s="44"/>
      <c r="MKD79" s="44"/>
      <c r="MKE79" s="44"/>
      <c r="MKF79" s="44"/>
      <c r="MKG79" s="44"/>
      <c r="MKH79" s="44"/>
      <c r="MKI79" s="44"/>
      <c r="MKJ79" s="44"/>
      <c r="MKK79" s="44"/>
      <c r="MKL79" s="44"/>
      <c r="MKM79" s="44"/>
      <c r="MKN79" s="44"/>
      <c r="MKO79" s="44"/>
      <c r="MKP79" s="44"/>
      <c r="MKQ79" s="44"/>
      <c r="MKR79" s="44"/>
      <c r="MKS79" s="44"/>
      <c r="MKT79" s="44"/>
      <c r="MKU79" s="44"/>
      <c r="MKV79" s="44"/>
      <c r="MKW79" s="44"/>
      <c r="MKX79" s="44"/>
      <c r="MKY79" s="44"/>
      <c r="MKZ79" s="44"/>
      <c r="MLA79" s="44"/>
      <c r="MLB79" s="44"/>
      <c r="MLC79" s="44"/>
      <c r="MLD79" s="44"/>
      <c r="MLE79" s="44"/>
      <c r="MLF79" s="44"/>
      <c r="MLG79" s="44"/>
      <c r="MLH79" s="44"/>
      <c r="MLI79" s="44"/>
      <c r="MLJ79" s="44"/>
      <c r="MLK79" s="44"/>
      <c r="MLL79" s="44"/>
      <c r="MLM79" s="44"/>
      <c r="MLN79" s="44"/>
      <c r="MLO79" s="44"/>
      <c r="MLP79" s="44"/>
      <c r="MLQ79" s="44"/>
      <c r="MLR79" s="44"/>
      <c r="MLS79" s="44"/>
      <c r="MLT79" s="44"/>
      <c r="MLU79" s="44"/>
      <c r="MLV79" s="44"/>
      <c r="MLW79" s="44"/>
      <c r="MLX79" s="44"/>
      <c r="MLY79" s="44"/>
      <c r="MLZ79" s="44"/>
      <c r="MMA79" s="44"/>
      <c r="MMB79" s="44"/>
      <c r="MMC79" s="44"/>
      <c r="MMD79" s="44"/>
      <c r="MME79" s="44"/>
      <c r="MMF79" s="44"/>
      <c r="MMG79" s="44"/>
      <c r="MMH79" s="44"/>
      <c r="MMI79" s="44"/>
      <c r="MMJ79" s="44"/>
      <c r="MMK79" s="44"/>
      <c r="MML79" s="44"/>
      <c r="MMM79" s="44"/>
      <c r="MMN79" s="44"/>
      <c r="MMO79" s="44"/>
      <c r="MMP79" s="44"/>
      <c r="MMQ79" s="44"/>
      <c r="MMR79" s="44"/>
      <c r="MMS79" s="44"/>
      <c r="MMT79" s="44"/>
      <c r="MMU79" s="44"/>
      <c r="MMV79" s="44"/>
      <c r="MMW79" s="44"/>
      <c r="MMX79" s="44"/>
      <c r="MMY79" s="44"/>
      <c r="MMZ79" s="44"/>
      <c r="MNA79" s="44"/>
      <c r="MNB79" s="44"/>
      <c r="MNC79" s="44"/>
      <c r="MND79" s="44"/>
      <c r="MNE79" s="44"/>
      <c r="MNF79" s="44"/>
      <c r="MNG79" s="44"/>
      <c r="MNH79" s="44"/>
      <c r="MNI79" s="44"/>
      <c r="MNJ79" s="44"/>
      <c r="MNK79" s="44"/>
      <c r="MNL79" s="44"/>
      <c r="MNM79" s="44"/>
      <c r="MNN79" s="44"/>
      <c r="MNO79" s="44"/>
      <c r="MNP79" s="44"/>
      <c r="MNQ79" s="44"/>
      <c r="MNR79" s="44"/>
      <c r="MNS79" s="44"/>
      <c r="MNT79" s="44"/>
      <c r="MNU79" s="44"/>
      <c r="MNV79" s="44"/>
      <c r="MNW79" s="44"/>
      <c r="MNX79" s="44"/>
      <c r="MNY79" s="44"/>
      <c r="MNZ79" s="44"/>
      <c r="MOA79" s="44"/>
      <c r="MOB79" s="44"/>
      <c r="MOC79" s="44"/>
      <c r="MOD79" s="44"/>
      <c r="MOE79" s="44"/>
      <c r="MOF79" s="44"/>
      <c r="MOG79" s="44"/>
      <c r="MOH79" s="44"/>
      <c r="MOI79" s="44"/>
      <c r="MOJ79" s="44"/>
      <c r="MOK79" s="44"/>
      <c r="MOL79" s="44"/>
      <c r="MOM79" s="44"/>
      <c r="MON79" s="44"/>
      <c r="MOO79" s="44"/>
      <c r="MOP79" s="44"/>
      <c r="MOQ79" s="44"/>
      <c r="MOR79" s="44"/>
      <c r="MOS79" s="44"/>
      <c r="MOT79" s="44"/>
      <c r="MOU79" s="44"/>
      <c r="MOV79" s="44"/>
      <c r="MOW79" s="44"/>
      <c r="MOX79" s="44"/>
      <c r="MOY79" s="44"/>
      <c r="MOZ79" s="44"/>
      <c r="MPA79" s="44"/>
      <c r="MPB79" s="44"/>
      <c r="MPC79" s="44"/>
      <c r="MPD79" s="44"/>
      <c r="MPE79" s="44"/>
      <c r="MPF79" s="44"/>
      <c r="MPG79" s="44"/>
      <c r="MPH79" s="44"/>
      <c r="MPI79" s="44"/>
      <c r="MPJ79" s="44"/>
      <c r="MPK79" s="44"/>
      <c r="MPL79" s="44"/>
      <c r="MPM79" s="44"/>
      <c r="MPN79" s="44"/>
      <c r="MPO79" s="44"/>
      <c r="MPP79" s="44"/>
      <c r="MPQ79" s="44"/>
      <c r="MPR79" s="44"/>
      <c r="MPS79" s="44"/>
      <c r="MPT79" s="44"/>
      <c r="MPU79" s="44"/>
      <c r="MPV79" s="44"/>
      <c r="MPW79" s="44"/>
      <c r="MPX79" s="44"/>
      <c r="MPY79" s="44"/>
      <c r="MPZ79" s="44"/>
      <c r="MQA79" s="44"/>
      <c r="MQB79" s="44"/>
      <c r="MQC79" s="44"/>
      <c r="MQD79" s="44"/>
      <c r="MQE79" s="44"/>
      <c r="MQF79" s="44"/>
      <c r="MQG79" s="44"/>
      <c r="MQH79" s="44"/>
      <c r="MQI79" s="44"/>
      <c r="MQJ79" s="44"/>
      <c r="MQK79" s="44"/>
      <c r="MQL79" s="44"/>
      <c r="MQM79" s="44"/>
      <c r="MQN79" s="44"/>
      <c r="MQO79" s="44"/>
      <c r="MQP79" s="44"/>
      <c r="MQQ79" s="44"/>
      <c r="MQR79" s="44"/>
      <c r="MQS79" s="44"/>
      <c r="MQT79" s="44"/>
      <c r="MQU79" s="44"/>
      <c r="MQV79" s="44"/>
      <c r="MQW79" s="44"/>
      <c r="MQX79" s="44"/>
      <c r="MQY79" s="44"/>
      <c r="MQZ79" s="44"/>
      <c r="MRA79" s="44"/>
      <c r="MRB79" s="44"/>
      <c r="MRC79" s="44"/>
      <c r="MRD79" s="44"/>
      <c r="MRE79" s="44"/>
      <c r="MRF79" s="44"/>
      <c r="MRG79" s="44"/>
      <c r="MRH79" s="44"/>
      <c r="MRI79" s="44"/>
      <c r="MRJ79" s="44"/>
      <c r="MRK79" s="44"/>
      <c r="MRL79" s="44"/>
      <c r="MRM79" s="44"/>
      <c r="MRN79" s="44"/>
      <c r="MRO79" s="44"/>
      <c r="MRP79" s="44"/>
      <c r="MRQ79" s="44"/>
      <c r="MRR79" s="44"/>
      <c r="MRS79" s="44"/>
      <c r="MRT79" s="44"/>
      <c r="MRU79" s="44"/>
      <c r="MRV79" s="44"/>
      <c r="MRW79" s="44"/>
      <c r="MRX79" s="44"/>
      <c r="MRY79" s="44"/>
      <c r="MRZ79" s="44"/>
      <c r="MSA79" s="44"/>
      <c r="MSB79" s="44"/>
      <c r="MSC79" s="44"/>
      <c r="MSD79" s="44"/>
      <c r="MSE79" s="44"/>
      <c r="MSF79" s="44"/>
      <c r="MSG79" s="44"/>
      <c r="MSH79" s="44"/>
      <c r="MSI79" s="44"/>
      <c r="MSJ79" s="44"/>
      <c r="MSK79" s="44"/>
      <c r="MSL79" s="44"/>
      <c r="MSM79" s="44"/>
      <c r="MSN79" s="44"/>
      <c r="MSO79" s="44"/>
      <c r="MSP79" s="44"/>
      <c r="MSQ79" s="44"/>
      <c r="MSR79" s="44"/>
      <c r="MSS79" s="44"/>
      <c r="MST79" s="44"/>
      <c r="MSU79" s="44"/>
      <c r="MSV79" s="44"/>
      <c r="MSW79" s="44"/>
      <c r="MSX79" s="44"/>
      <c r="MSY79" s="44"/>
      <c r="MSZ79" s="44"/>
      <c r="MTA79" s="44"/>
      <c r="MTB79" s="44"/>
      <c r="MTC79" s="44"/>
      <c r="MTD79" s="44"/>
      <c r="MTE79" s="44"/>
      <c r="MTF79" s="44"/>
      <c r="MTG79" s="44"/>
      <c r="MTH79" s="44"/>
      <c r="MTI79" s="44"/>
      <c r="MTJ79" s="44"/>
      <c r="MTK79" s="44"/>
      <c r="MTL79" s="44"/>
      <c r="MTM79" s="44"/>
      <c r="MTN79" s="44"/>
      <c r="MTO79" s="44"/>
      <c r="MTP79" s="44"/>
      <c r="MTQ79" s="44"/>
      <c r="MTR79" s="44"/>
      <c r="MTS79" s="44"/>
      <c r="MTT79" s="44"/>
      <c r="MTU79" s="44"/>
      <c r="MTV79" s="44"/>
      <c r="MTW79" s="44"/>
      <c r="MTX79" s="44"/>
      <c r="MTY79" s="44"/>
      <c r="MTZ79" s="44"/>
      <c r="MUA79" s="44"/>
      <c r="MUB79" s="44"/>
      <c r="MUC79" s="44"/>
      <c r="MUD79" s="44"/>
      <c r="MUE79" s="44"/>
      <c r="MUF79" s="44"/>
      <c r="MUG79" s="44"/>
      <c r="MUH79" s="44"/>
      <c r="MUI79" s="44"/>
      <c r="MUJ79" s="44"/>
      <c r="MUK79" s="44"/>
      <c r="MUL79" s="44"/>
      <c r="MUM79" s="44"/>
      <c r="MUN79" s="44"/>
      <c r="MUO79" s="44"/>
      <c r="MUP79" s="44"/>
      <c r="MUQ79" s="44"/>
      <c r="MUR79" s="44"/>
      <c r="MUS79" s="44"/>
      <c r="MUT79" s="44"/>
      <c r="MUU79" s="44"/>
      <c r="MUV79" s="44"/>
      <c r="MUW79" s="44"/>
      <c r="MUX79" s="44"/>
      <c r="MUY79" s="44"/>
      <c r="MUZ79" s="44"/>
      <c r="MVA79" s="44"/>
      <c r="MVB79" s="44"/>
      <c r="MVC79" s="44"/>
      <c r="MVD79" s="44"/>
      <c r="MVE79" s="44"/>
      <c r="MVF79" s="44"/>
      <c r="MVG79" s="44"/>
      <c r="MVH79" s="44"/>
      <c r="MVI79" s="44"/>
      <c r="MVJ79" s="44"/>
      <c r="MVK79" s="44"/>
      <c r="MVL79" s="44"/>
      <c r="MVM79" s="44"/>
      <c r="MVN79" s="44"/>
      <c r="MVO79" s="44"/>
      <c r="MVP79" s="44"/>
      <c r="MVQ79" s="44"/>
      <c r="MVR79" s="44"/>
      <c r="MVS79" s="44"/>
      <c r="MVT79" s="44"/>
      <c r="MVU79" s="44"/>
      <c r="MVV79" s="44"/>
      <c r="MVW79" s="44"/>
      <c r="MVX79" s="44"/>
      <c r="MVY79" s="44"/>
      <c r="MVZ79" s="44"/>
      <c r="MWA79" s="44"/>
      <c r="MWB79" s="44"/>
      <c r="MWC79" s="44"/>
      <c r="MWD79" s="44"/>
      <c r="MWE79" s="44"/>
      <c r="MWF79" s="44"/>
      <c r="MWG79" s="44"/>
      <c r="MWH79" s="44"/>
      <c r="MWI79" s="44"/>
      <c r="MWJ79" s="44"/>
      <c r="MWK79" s="44"/>
      <c r="MWL79" s="44"/>
      <c r="MWM79" s="44"/>
      <c r="MWN79" s="44"/>
      <c r="MWO79" s="44"/>
      <c r="MWP79" s="44"/>
      <c r="MWQ79" s="44"/>
      <c r="MWR79" s="44"/>
      <c r="MWS79" s="44"/>
      <c r="MWT79" s="44"/>
      <c r="MWU79" s="44"/>
      <c r="MWV79" s="44"/>
      <c r="MWW79" s="44"/>
      <c r="MWX79" s="44"/>
      <c r="MWY79" s="44"/>
      <c r="MWZ79" s="44"/>
      <c r="MXA79" s="44"/>
      <c r="MXB79" s="44"/>
      <c r="MXC79" s="44"/>
      <c r="MXD79" s="44"/>
      <c r="MXE79" s="44"/>
      <c r="MXF79" s="44"/>
      <c r="MXG79" s="44"/>
      <c r="MXH79" s="44"/>
      <c r="MXI79" s="44"/>
      <c r="MXJ79" s="44"/>
      <c r="MXK79" s="44"/>
      <c r="MXL79" s="44"/>
      <c r="MXM79" s="44"/>
      <c r="MXN79" s="44"/>
      <c r="MXO79" s="44"/>
      <c r="MXP79" s="44"/>
      <c r="MXQ79" s="44"/>
      <c r="MXR79" s="44"/>
      <c r="MXS79" s="44"/>
      <c r="MXT79" s="44"/>
      <c r="MXU79" s="44"/>
      <c r="MXV79" s="44"/>
      <c r="MXW79" s="44"/>
      <c r="MXX79" s="44"/>
      <c r="MXY79" s="44"/>
      <c r="MXZ79" s="44"/>
      <c r="MYA79" s="44"/>
      <c r="MYB79" s="44"/>
      <c r="MYC79" s="44"/>
      <c r="MYD79" s="44"/>
      <c r="MYE79" s="44"/>
      <c r="MYF79" s="44"/>
      <c r="MYG79" s="44"/>
      <c r="MYH79" s="44"/>
      <c r="MYI79" s="44"/>
      <c r="MYJ79" s="44"/>
      <c r="MYK79" s="44"/>
      <c r="MYL79" s="44"/>
      <c r="MYM79" s="44"/>
      <c r="MYN79" s="44"/>
      <c r="MYO79" s="44"/>
      <c r="MYP79" s="44"/>
      <c r="MYQ79" s="44"/>
      <c r="MYR79" s="44"/>
      <c r="MYS79" s="44"/>
      <c r="MYT79" s="44"/>
      <c r="MYU79" s="44"/>
      <c r="MYV79" s="44"/>
      <c r="MYW79" s="44"/>
      <c r="MYX79" s="44"/>
      <c r="MYY79" s="44"/>
      <c r="MYZ79" s="44"/>
      <c r="MZA79" s="44"/>
      <c r="MZB79" s="44"/>
      <c r="MZC79" s="44"/>
      <c r="MZD79" s="44"/>
      <c r="MZE79" s="44"/>
      <c r="MZF79" s="44"/>
      <c r="MZG79" s="44"/>
      <c r="MZH79" s="44"/>
      <c r="MZI79" s="44"/>
      <c r="MZJ79" s="44"/>
      <c r="MZK79" s="44"/>
      <c r="MZL79" s="44"/>
      <c r="MZM79" s="44"/>
      <c r="MZN79" s="44"/>
      <c r="MZO79" s="44"/>
      <c r="MZP79" s="44"/>
      <c r="MZQ79" s="44"/>
      <c r="MZR79" s="44"/>
      <c r="MZS79" s="44"/>
      <c r="MZT79" s="44"/>
      <c r="MZU79" s="44"/>
      <c r="MZV79" s="44"/>
      <c r="MZW79" s="44"/>
      <c r="MZX79" s="44"/>
      <c r="MZY79" s="44"/>
      <c r="MZZ79" s="44"/>
      <c r="NAA79" s="44"/>
      <c r="NAB79" s="44"/>
      <c r="NAC79" s="44"/>
      <c r="NAD79" s="44"/>
      <c r="NAE79" s="44"/>
      <c r="NAF79" s="44"/>
      <c r="NAG79" s="44"/>
      <c r="NAH79" s="44"/>
      <c r="NAI79" s="44"/>
      <c r="NAJ79" s="44"/>
      <c r="NAK79" s="44"/>
      <c r="NAL79" s="44"/>
      <c r="NAM79" s="44"/>
      <c r="NAN79" s="44"/>
      <c r="NAO79" s="44"/>
      <c r="NAP79" s="44"/>
      <c r="NAQ79" s="44"/>
      <c r="NAR79" s="44"/>
      <c r="NAS79" s="44"/>
      <c r="NAT79" s="44"/>
      <c r="NAU79" s="44"/>
      <c r="NAV79" s="44"/>
      <c r="NAW79" s="44"/>
      <c r="NAX79" s="44"/>
      <c r="NAY79" s="44"/>
      <c r="NAZ79" s="44"/>
      <c r="NBA79" s="44"/>
      <c r="NBB79" s="44"/>
      <c r="NBC79" s="44"/>
      <c r="NBD79" s="44"/>
      <c r="NBE79" s="44"/>
      <c r="NBF79" s="44"/>
      <c r="NBG79" s="44"/>
      <c r="NBH79" s="44"/>
      <c r="NBI79" s="44"/>
      <c r="NBJ79" s="44"/>
      <c r="NBK79" s="44"/>
      <c r="NBL79" s="44"/>
      <c r="NBM79" s="44"/>
      <c r="NBN79" s="44"/>
      <c r="NBO79" s="44"/>
      <c r="NBP79" s="44"/>
      <c r="NBQ79" s="44"/>
      <c r="NBR79" s="44"/>
      <c r="NBS79" s="44"/>
      <c r="NBT79" s="44"/>
      <c r="NBU79" s="44"/>
      <c r="NBV79" s="44"/>
      <c r="NBW79" s="44"/>
      <c r="NBX79" s="44"/>
      <c r="NBY79" s="44"/>
      <c r="NBZ79" s="44"/>
      <c r="NCA79" s="44"/>
      <c r="NCB79" s="44"/>
      <c r="NCC79" s="44"/>
      <c r="NCD79" s="44"/>
      <c r="NCE79" s="44"/>
      <c r="NCF79" s="44"/>
      <c r="NCG79" s="44"/>
      <c r="NCH79" s="44"/>
      <c r="NCI79" s="44"/>
      <c r="NCJ79" s="44"/>
      <c r="NCK79" s="44"/>
      <c r="NCL79" s="44"/>
      <c r="NCM79" s="44"/>
      <c r="NCN79" s="44"/>
      <c r="NCO79" s="44"/>
      <c r="NCP79" s="44"/>
      <c r="NCQ79" s="44"/>
      <c r="NCR79" s="44"/>
      <c r="NCS79" s="44"/>
      <c r="NCT79" s="44"/>
      <c r="NCU79" s="44"/>
      <c r="NCV79" s="44"/>
      <c r="NCW79" s="44"/>
      <c r="NCX79" s="44"/>
      <c r="NCY79" s="44"/>
      <c r="NCZ79" s="44"/>
      <c r="NDA79" s="44"/>
      <c r="NDB79" s="44"/>
      <c r="NDC79" s="44"/>
      <c r="NDD79" s="44"/>
      <c r="NDE79" s="44"/>
      <c r="NDF79" s="44"/>
      <c r="NDG79" s="44"/>
      <c r="NDH79" s="44"/>
      <c r="NDI79" s="44"/>
      <c r="NDJ79" s="44"/>
      <c r="NDK79" s="44"/>
      <c r="NDL79" s="44"/>
      <c r="NDM79" s="44"/>
      <c r="NDN79" s="44"/>
      <c r="NDO79" s="44"/>
      <c r="NDP79" s="44"/>
      <c r="NDQ79" s="44"/>
      <c r="NDR79" s="44"/>
      <c r="NDS79" s="44"/>
      <c r="NDT79" s="44"/>
      <c r="NDU79" s="44"/>
      <c r="NDV79" s="44"/>
      <c r="NDW79" s="44"/>
      <c r="NDX79" s="44"/>
      <c r="NDY79" s="44"/>
      <c r="NDZ79" s="44"/>
      <c r="NEA79" s="44"/>
      <c r="NEB79" s="44"/>
      <c r="NEC79" s="44"/>
      <c r="NED79" s="44"/>
      <c r="NEE79" s="44"/>
      <c r="NEF79" s="44"/>
      <c r="NEG79" s="44"/>
      <c r="NEH79" s="44"/>
      <c r="NEI79" s="44"/>
      <c r="NEJ79" s="44"/>
      <c r="NEK79" s="44"/>
      <c r="NEL79" s="44"/>
      <c r="NEM79" s="44"/>
      <c r="NEN79" s="44"/>
      <c r="NEO79" s="44"/>
      <c r="NEP79" s="44"/>
      <c r="NEQ79" s="44"/>
      <c r="NER79" s="44"/>
      <c r="NES79" s="44"/>
      <c r="NET79" s="44"/>
      <c r="NEU79" s="44"/>
      <c r="NEV79" s="44"/>
      <c r="NEW79" s="44"/>
      <c r="NEX79" s="44"/>
      <c r="NEY79" s="44"/>
      <c r="NEZ79" s="44"/>
      <c r="NFA79" s="44"/>
      <c r="NFB79" s="44"/>
      <c r="NFC79" s="44"/>
      <c r="NFD79" s="44"/>
      <c r="NFE79" s="44"/>
      <c r="NFF79" s="44"/>
      <c r="NFG79" s="44"/>
      <c r="NFH79" s="44"/>
      <c r="NFI79" s="44"/>
      <c r="NFJ79" s="44"/>
      <c r="NFK79" s="44"/>
      <c r="NFL79" s="44"/>
      <c r="NFM79" s="44"/>
      <c r="NFN79" s="44"/>
      <c r="NFO79" s="44"/>
      <c r="NFP79" s="44"/>
      <c r="NFQ79" s="44"/>
      <c r="NFR79" s="44"/>
      <c r="NFS79" s="44"/>
      <c r="NFT79" s="44"/>
      <c r="NFU79" s="44"/>
      <c r="NFV79" s="44"/>
      <c r="NFW79" s="44"/>
      <c r="NFX79" s="44"/>
      <c r="NFY79" s="44"/>
      <c r="NFZ79" s="44"/>
      <c r="NGA79" s="44"/>
      <c r="NGB79" s="44"/>
      <c r="NGC79" s="44"/>
      <c r="NGD79" s="44"/>
      <c r="NGE79" s="44"/>
      <c r="NGF79" s="44"/>
      <c r="NGG79" s="44"/>
      <c r="NGH79" s="44"/>
      <c r="NGI79" s="44"/>
      <c r="NGJ79" s="44"/>
      <c r="NGK79" s="44"/>
      <c r="NGL79" s="44"/>
      <c r="NGM79" s="44"/>
      <c r="NGN79" s="44"/>
      <c r="NGO79" s="44"/>
      <c r="NGP79" s="44"/>
      <c r="NGQ79" s="44"/>
      <c r="NGR79" s="44"/>
      <c r="NGS79" s="44"/>
      <c r="NGT79" s="44"/>
      <c r="NGU79" s="44"/>
      <c r="NGV79" s="44"/>
      <c r="NGW79" s="44"/>
      <c r="NGX79" s="44"/>
      <c r="NGY79" s="44"/>
      <c r="NGZ79" s="44"/>
      <c r="NHA79" s="44"/>
      <c r="NHB79" s="44"/>
      <c r="NHC79" s="44"/>
      <c r="NHD79" s="44"/>
      <c r="NHE79" s="44"/>
      <c r="NHF79" s="44"/>
      <c r="NHG79" s="44"/>
      <c r="NHH79" s="44"/>
      <c r="NHI79" s="44"/>
      <c r="NHJ79" s="44"/>
      <c r="NHK79" s="44"/>
      <c r="NHL79" s="44"/>
      <c r="NHM79" s="44"/>
      <c r="NHN79" s="44"/>
      <c r="NHO79" s="44"/>
      <c r="NHP79" s="44"/>
      <c r="NHQ79" s="44"/>
      <c r="NHR79" s="44"/>
      <c r="NHS79" s="44"/>
      <c r="NHT79" s="44"/>
      <c r="NHU79" s="44"/>
      <c r="NHV79" s="44"/>
      <c r="NHW79" s="44"/>
      <c r="NHX79" s="44"/>
      <c r="NHY79" s="44"/>
      <c r="NHZ79" s="44"/>
      <c r="NIA79" s="44"/>
      <c r="NIB79" s="44"/>
      <c r="NIC79" s="44"/>
      <c r="NID79" s="44"/>
      <c r="NIE79" s="44"/>
      <c r="NIF79" s="44"/>
      <c r="NIG79" s="44"/>
      <c r="NIH79" s="44"/>
      <c r="NII79" s="44"/>
      <c r="NIJ79" s="44"/>
      <c r="NIK79" s="44"/>
      <c r="NIL79" s="44"/>
      <c r="NIM79" s="44"/>
      <c r="NIN79" s="44"/>
      <c r="NIO79" s="44"/>
      <c r="NIP79" s="44"/>
      <c r="NIQ79" s="44"/>
      <c r="NIR79" s="44"/>
      <c r="NIS79" s="44"/>
      <c r="NIT79" s="44"/>
      <c r="NIU79" s="44"/>
      <c r="NIV79" s="44"/>
      <c r="NIW79" s="44"/>
      <c r="NIX79" s="44"/>
      <c r="NIY79" s="44"/>
      <c r="NIZ79" s="44"/>
      <c r="NJA79" s="44"/>
      <c r="NJB79" s="44"/>
      <c r="NJC79" s="44"/>
      <c r="NJD79" s="44"/>
      <c r="NJE79" s="44"/>
      <c r="NJF79" s="44"/>
      <c r="NJG79" s="44"/>
      <c r="NJH79" s="44"/>
      <c r="NJI79" s="44"/>
      <c r="NJJ79" s="44"/>
      <c r="NJK79" s="44"/>
      <c r="NJL79" s="44"/>
      <c r="NJM79" s="44"/>
      <c r="NJN79" s="44"/>
      <c r="NJO79" s="44"/>
      <c r="NJP79" s="44"/>
      <c r="NJQ79" s="44"/>
      <c r="NJR79" s="44"/>
      <c r="NJS79" s="44"/>
      <c r="NJT79" s="44"/>
      <c r="NJU79" s="44"/>
      <c r="NJV79" s="44"/>
      <c r="NJW79" s="44"/>
      <c r="NJX79" s="44"/>
      <c r="NJY79" s="44"/>
      <c r="NJZ79" s="44"/>
      <c r="NKA79" s="44"/>
      <c r="NKB79" s="44"/>
      <c r="NKC79" s="44"/>
      <c r="NKD79" s="44"/>
      <c r="NKE79" s="44"/>
      <c r="NKF79" s="44"/>
      <c r="NKG79" s="44"/>
      <c r="NKH79" s="44"/>
      <c r="NKI79" s="44"/>
      <c r="NKJ79" s="44"/>
      <c r="NKK79" s="44"/>
      <c r="NKL79" s="44"/>
      <c r="NKM79" s="44"/>
      <c r="NKN79" s="44"/>
      <c r="NKO79" s="44"/>
      <c r="NKP79" s="44"/>
      <c r="NKQ79" s="44"/>
      <c r="NKR79" s="44"/>
      <c r="NKS79" s="44"/>
      <c r="NKT79" s="44"/>
      <c r="NKU79" s="44"/>
      <c r="NKV79" s="44"/>
      <c r="NKW79" s="44"/>
      <c r="NKX79" s="44"/>
      <c r="NKY79" s="44"/>
      <c r="NKZ79" s="44"/>
      <c r="NLA79" s="44"/>
      <c r="NLB79" s="44"/>
      <c r="NLC79" s="44"/>
      <c r="NLD79" s="44"/>
      <c r="NLE79" s="44"/>
      <c r="NLF79" s="44"/>
      <c r="NLG79" s="44"/>
      <c r="NLH79" s="44"/>
      <c r="NLI79" s="44"/>
      <c r="NLJ79" s="44"/>
      <c r="NLK79" s="44"/>
      <c r="NLL79" s="44"/>
      <c r="NLM79" s="44"/>
      <c r="NLN79" s="44"/>
      <c r="NLO79" s="44"/>
      <c r="NLP79" s="44"/>
      <c r="NLQ79" s="44"/>
      <c r="NLR79" s="44"/>
      <c r="NLS79" s="44"/>
      <c r="NLT79" s="44"/>
      <c r="NLU79" s="44"/>
      <c r="NLV79" s="44"/>
      <c r="NLW79" s="44"/>
      <c r="NLX79" s="44"/>
      <c r="NLY79" s="44"/>
      <c r="NLZ79" s="44"/>
      <c r="NMA79" s="44"/>
      <c r="NMB79" s="44"/>
      <c r="NMC79" s="44"/>
      <c r="NMD79" s="44"/>
      <c r="NME79" s="44"/>
      <c r="NMF79" s="44"/>
      <c r="NMG79" s="44"/>
      <c r="NMH79" s="44"/>
      <c r="NMI79" s="44"/>
      <c r="NMJ79" s="44"/>
      <c r="NMK79" s="44"/>
      <c r="NML79" s="44"/>
      <c r="NMM79" s="44"/>
      <c r="NMN79" s="44"/>
      <c r="NMO79" s="44"/>
      <c r="NMP79" s="44"/>
      <c r="NMQ79" s="44"/>
      <c r="NMR79" s="44"/>
      <c r="NMS79" s="44"/>
      <c r="NMT79" s="44"/>
      <c r="NMU79" s="44"/>
      <c r="NMV79" s="44"/>
      <c r="NMW79" s="44"/>
      <c r="NMX79" s="44"/>
      <c r="NMY79" s="44"/>
      <c r="NMZ79" s="44"/>
      <c r="NNA79" s="44"/>
      <c r="NNB79" s="44"/>
      <c r="NNC79" s="44"/>
      <c r="NND79" s="44"/>
      <c r="NNE79" s="44"/>
      <c r="NNF79" s="44"/>
      <c r="NNG79" s="44"/>
      <c r="NNH79" s="44"/>
      <c r="NNI79" s="44"/>
      <c r="NNJ79" s="44"/>
      <c r="NNK79" s="44"/>
      <c r="NNL79" s="44"/>
      <c r="NNM79" s="44"/>
      <c r="NNN79" s="44"/>
      <c r="NNO79" s="44"/>
      <c r="NNP79" s="44"/>
      <c r="NNQ79" s="44"/>
      <c r="NNR79" s="44"/>
      <c r="NNS79" s="44"/>
      <c r="NNT79" s="44"/>
      <c r="NNU79" s="44"/>
      <c r="NNV79" s="44"/>
      <c r="NNW79" s="44"/>
      <c r="NNX79" s="44"/>
      <c r="NNY79" s="44"/>
      <c r="NNZ79" s="44"/>
      <c r="NOA79" s="44"/>
      <c r="NOB79" s="44"/>
      <c r="NOC79" s="44"/>
      <c r="NOD79" s="44"/>
      <c r="NOE79" s="44"/>
      <c r="NOF79" s="44"/>
      <c r="NOG79" s="44"/>
      <c r="NOH79" s="44"/>
      <c r="NOI79" s="44"/>
      <c r="NOJ79" s="44"/>
      <c r="NOK79" s="44"/>
      <c r="NOL79" s="44"/>
      <c r="NOM79" s="44"/>
      <c r="NON79" s="44"/>
      <c r="NOO79" s="44"/>
      <c r="NOP79" s="44"/>
      <c r="NOQ79" s="44"/>
      <c r="NOR79" s="44"/>
      <c r="NOS79" s="44"/>
      <c r="NOT79" s="44"/>
      <c r="NOU79" s="44"/>
      <c r="NOV79" s="44"/>
      <c r="NOW79" s="44"/>
      <c r="NOX79" s="44"/>
      <c r="NOY79" s="44"/>
      <c r="NOZ79" s="44"/>
      <c r="NPA79" s="44"/>
      <c r="NPB79" s="44"/>
      <c r="NPC79" s="44"/>
      <c r="NPD79" s="44"/>
      <c r="NPE79" s="44"/>
      <c r="NPF79" s="44"/>
      <c r="NPG79" s="44"/>
      <c r="NPH79" s="44"/>
      <c r="NPI79" s="44"/>
      <c r="NPJ79" s="44"/>
      <c r="NPK79" s="44"/>
      <c r="NPL79" s="44"/>
      <c r="NPM79" s="44"/>
      <c r="NPN79" s="44"/>
      <c r="NPO79" s="44"/>
      <c r="NPP79" s="44"/>
      <c r="NPQ79" s="44"/>
      <c r="NPR79" s="44"/>
      <c r="NPS79" s="44"/>
      <c r="NPT79" s="44"/>
      <c r="NPU79" s="44"/>
      <c r="NPV79" s="44"/>
      <c r="NPW79" s="44"/>
      <c r="NPX79" s="44"/>
      <c r="NPY79" s="44"/>
      <c r="NPZ79" s="44"/>
      <c r="NQA79" s="44"/>
      <c r="NQB79" s="44"/>
      <c r="NQC79" s="44"/>
      <c r="NQD79" s="44"/>
      <c r="NQE79" s="44"/>
      <c r="NQF79" s="44"/>
      <c r="NQG79" s="44"/>
      <c r="NQH79" s="44"/>
      <c r="NQI79" s="44"/>
      <c r="NQJ79" s="44"/>
      <c r="NQK79" s="44"/>
      <c r="NQL79" s="44"/>
      <c r="NQM79" s="44"/>
      <c r="NQN79" s="44"/>
      <c r="NQO79" s="44"/>
      <c r="NQP79" s="44"/>
      <c r="NQQ79" s="44"/>
      <c r="NQR79" s="44"/>
      <c r="NQS79" s="44"/>
      <c r="NQT79" s="44"/>
      <c r="NQU79" s="44"/>
      <c r="NQV79" s="44"/>
      <c r="NQW79" s="44"/>
      <c r="NQX79" s="44"/>
      <c r="NQY79" s="44"/>
      <c r="NQZ79" s="44"/>
      <c r="NRA79" s="44"/>
      <c r="NRB79" s="44"/>
      <c r="NRC79" s="44"/>
      <c r="NRD79" s="44"/>
      <c r="NRE79" s="44"/>
      <c r="NRF79" s="44"/>
      <c r="NRG79" s="44"/>
      <c r="NRH79" s="44"/>
      <c r="NRI79" s="44"/>
      <c r="NRJ79" s="44"/>
      <c r="NRK79" s="44"/>
      <c r="NRL79" s="44"/>
      <c r="NRM79" s="44"/>
      <c r="NRN79" s="44"/>
      <c r="NRO79" s="44"/>
      <c r="NRP79" s="44"/>
      <c r="NRQ79" s="44"/>
      <c r="NRR79" s="44"/>
      <c r="NRS79" s="44"/>
      <c r="NRT79" s="44"/>
      <c r="NRU79" s="44"/>
      <c r="NRV79" s="44"/>
      <c r="NRW79" s="44"/>
      <c r="NRX79" s="44"/>
      <c r="NRY79" s="44"/>
      <c r="NRZ79" s="44"/>
      <c r="NSA79" s="44"/>
      <c r="NSB79" s="44"/>
      <c r="NSC79" s="44"/>
      <c r="NSD79" s="44"/>
      <c r="NSE79" s="44"/>
      <c r="NSF79" s="44"/>
      <c r="NSG79" s="44"/>
      <c r="NSH79" s="44"/>
      <c r="NSI79" s="44"/>
      <c r="NSJ79" s="44"/>
      <c r="NSK79" s="44"/>
      <c r="NSL79" s="44"/>
      <c r="NSM79" s="44"/>
      <c r="NSN79" s="44"/>
      <c r="NSO79" s="44"/>
      <c r="NSP79" s="44"/>
      <c r="NSQ79" s="44"/>
      <c r="NSR79" s="44"/>
      <c r="NSS79" s="44"/>
      <c r="NST79" s="44"/>
      <c r="NSU79" s="44"/>
      <c r="NSV79" s="44"/>
      <c r="NSW79" s="44"/>
      <c r="NSX79" s="44"/>
      <c r="NSY79" s="44"/>
      <c r="NSZ79" s="44"/>
      <c r="NTA79" s="44"/>
      <c r="NTB79" s="44"/>
      <c r="NTC79" s="44"/>
      <c r="NTD79" s="44"/>
      <c r="NTE79" s="44"/>
      <c r="NTF79" s="44"/>
      <c r="NTG79" s="44"/>
      <c r="NTH79" s="44"/>
      <c r="NTI79" s="44"/>
      <c r="NTJ79" s="44"/>
      <c r="NTK79" s="44"/>
      <c r="NTL79" s="44"/>
      <c r="NTM79" s="44"/>
      <c r="NTN79" s="44"/>
      <c r="NTO79" s="44"/>
      <c r="NTP79" s="44"/>
      <c r="NTQ79" s="44"/>
      <c r="NTR79" s="44"/>
      <c r="NTS79" s="44"/>
      <c r="NTT79" s="44"/>
      <c r="NTU79" s="44"/>
      <c r="NTV79" s="44"/>
      <c r="NTW79" s="44"/>
      <c r="NTX79" s="44"/>
      <c r="NTY79" s="44"/>
      <c r="NTZ79" s="44"/>
      <c r="NUA79" s="44"/>
      <c r="NUB79" s="44"/>
      <c r="NUC79" s="44"/>
      <c r="NUD79" s="44"/>
      <c r="NUE79" s="44"/>
      <c r="NUF79" s="44"/>
      <c r="NUG79" s="44"/>
      <c r="NUH79" s="44"/>
      <c r="NUI79" s="44"/>
      <c r="NUJ79" s="44"/>
      <c r="NUK79" s="44"/>
      <c r="NUL79" s="44"/>
      <c r="NUM79" s="44"/>
      <c r="NUN79" s="44"/>
      <c r="NUO79" s="44"/>
      <c r="NUP79" s="44"/>
      <c r="NUQ79" s="44"/>
      <c r="NUR79" s="44"/>
      <c r="NUS79" s="44"/>
      <c r="NUT79" s="44"/>
      <c r="NUU79" s="44"/>
      <c r="NUV79" s="44"/>
      <c r="NUW79" s="44"/>
      <c r="NUX79" s="44"/>
      <c r="NUY79" s="44"/>
      <c r="NUZ79" s="44"/>
      <c r="NVA79" s="44"/>
      <c r="NVB79" s="44"/>
      <c r="NVC79" s="44"/>
      <c r="NVD79" s="44"/>
      <c r="NVE79" s="44"/>
      <c r="NVF79" s="44"/>
      <c r="NVG79" s="44"/>
      <c r="NVH79" s="44"/>
      <c r="NVI79" s="44"/>
      <c r="NVJ79" s="44"/>
      <c r="NVK79" s="44"/>
      <c r="NVL79" s="44"/>
      <c r="NVM79" s="44"/>
      <c r="NVN79" s="44"/>
      <c r="NVO79" s="44"/>
      <c r="NVP79" s="44"/>
      <c r="NVQ79" s="44"/>
      <c r="NVR79" s="44"/>
      <c r="NVS79" s="44"/>
      <c r="NVT79" s="44"/>
      <c r="NVU79" s="44"/>
      <c r="NVV79" s="44"/>
      <c r="NVW79" s="44"/>
      <c r="NVX79" s="44"/>
      <c r="NVY79" s="44"/>
      <c r="NVZ79" s="44"/>
      <c r="NWA79" s="44"/>
      <c r="NWB79" s="44"/>
      <c r="NWC79" s="44"/>
      <c r="NWD79" s="44"/>
      <c r="NWE79" s="44"/>
      <c r="NWF79" s="44"/>
      <c r="NWG79" s="44"/>
      <c r="NWH79" s="44"/>
      <c r="NWI79" s="44"/>
      <c r="NWJ79" s="44"/>
      <c r="NWK79" s="44"/>
      <c r="NWL79" s="44"/>
      <c r="NWM79" s="44"/>
      <c r="NWN79" s="44"/>
      <c r="NWO79" s="44"/>
      <c r="NWP79" s="44"/>
      <c r="NWQ79" s="44"/>
      <c r="NWR79" s="44"/>
      <c r="NWS79" s="44"/>
      <c r="NWT79" s="44"/>
      <c r="NWU79" s="44"/>
      <c r="NWV79" s="44"/>
      <c r="NWW79" s="44"/>
      <c r="NWX79" s="44"/>
      <c r="NWY79" s="44"/>
      <c r="NWZ79" s="44"/>
      <c r="NXA79" s="44"/>
      <c r="NXB79" s="44"/>
      <c r="NXC79" s="44"/>
      <c r="NXD79" s="44"/>
      <c r="NXE79" s="44"/>
      <c r="NXF79" s="44"/>
      <c r="NXG79" s="44"/>
      <c r="NXH79" s="44"/>
      <c r="NXI79" s="44"/>
      <c r="NXJ79" s="44"/>
      <c r="NXK79" s="44"/>
      <c r="NXL79" s="44"/>
      <c r="NXM79" s="44"/>
      <c r="NXN79" s="44"/>
      <c r="NXO79" s="44"/>
      <c r="NXP79" s="44"/>
      <c r="NXQ79" s="44"/>
      <c r="NXR79" s="44"/>
      <c r="NXS79" s="44"/>
      <c r="NXT79" s="44"/>
      <c r="NXU79" s="44"/>
      <c r="NXV79" s="44"/>
      <c r="NXW79" s="44"/>
      <c r="NXX79" s="44"/>
      <c r="NXY79" s="44"/>
      <c r="NXZ79" s="44"/>
      <c r="NYA79" s="44"/>
      <c r="NYB79" s="44"/>
      <c r="NYC79" s="44"/>
      <c r="NYD79" s="44"/>
      <c r="NYE79" s="44"/>
      <c r="NYF79" s="44"/>
      <c r="NYG79" s="44"/>
      <c r="NYH79" s="44"/>
      <c r="NYI79" s="44"/>
      <c r="NYJ79" s="44"/>
      <c r="NYK79" s="44"/>
      <c r="NYL79" s="44"/>
      <c r="NYM79" s="44"/>
      <c r="NYN79" s="44"/>
      <c r="NYO79" s="44"/>
      <c r="NYP79" s="44"/>
      <c r="NYQ79" s="44"/>
      <c r="NYR79" s="44"/>
      <c r="NYS79" s="44"/>
      <c r="NYT79" s="44"/>
      <c r="NYU79" s="44"/>
      <c r="NYV79" s="44"/>
      <c r="NYW79" s="44"/>
      <c r="NYX79" s="44"/>
      <c r="NYY79" s="44"/>
      <c r="NYZ79" s="44"/>
      <c r="NZA79" s="44"/>
      <c r="NZB79" s="44"/>
      <c r="NZC79" s="44"/>
      <c r="NZD79" s="44"/>
      <c r="NZE79" s="44"/>
      <c r="NZF79" s="44"/>
      <c r="NZG79" s="44"/>
      <c r="NZH79" s="44"/>
      <c r="NZI79" s="44"/>
      <c r="NZJ79" s="44"/>
      <c r="NZK79" s="44"/>
      <c r="NZL79" s="44"/>
      <c r="NZM79" s="44"/>
      <c r="NZN79" s="44"/>
      <c r="NZO79" s="44"/>
      <c r="NZP79" s="44"/>
      <c r="NZQ79" s="44"/>
      <c r="NZR79" s="44"/>
      <c r="NZS79" s="44"/>
      <c r="NZT79" s="44"/>
      <c r="NZU79" s="44"/>
      <c r="NZV79" s="44"/>
      <c r="NZW79" s="44"/>
      <c r="NZX79" s="44"/>
      <c r="NZY79" s="44"/>
      <c r="NZZ79" s="44"/>
      <c r="OAA79" s="44"/>
      <c r="OAB79" s="44"/>
      <c r="OAC79" s="44"/>
      <c r="OAD79" s="44"/>
      <c r="OAE79" s="44"/>
      <c r="OAF79" s="44"/>
      <c r="OAG79" s="44"/>
      <c r="OAH79" s="44"/>
      <c r="OAI79" s="44"/>
      <c r="OAJ79" s="44"/>
      <c r="OAK79" s="44"/>
      <c r="OAL79" s="44"/>
      <c r="OAM79" s="44"/>
      <c r="OAN79" s="44"/>
      <c r="OAO79" s="44"/>
      <c r="OAP79" s="44"/>
      <c r="OAQ79" s="44"/>
      <c r="OAR79" s="44"/>
      <c r="OAS79" s="44"/>
      <c r="OAT79" s="44"/>
      <c r="OAU79" s="44"/>
      <c r="OAV79" s="44"/>
      <c r="OAW79" s="44"/>
      <c r="OAX79" s="44"/>
      <c r="OAY79" s="44"/>
      <c r="OAZ79" s="44"/>
      <c r="OBA79" s="44"/>
      <c r="OBB79" s="44"/>
      <c r="OBC79" s="44"/>
      <c r="OBD79" s="44"/>
      <c r="OBE79" s="44"/>
      <c r="OBF79" s="44"/>
      <c r="OBG79" s="44"/>
      <c r="OBH79" s="44"/>
      <c r="OBI79" s="44"/>
      <c r="OBJ79" s="44"/>
      <c r="OBK79" s="44"/>
      <c r="OBL79" s="44"/>
      <c r="OBM79" s="44"/>
      <c r="OBN79" s="44"/>
      <c r="OBO79" s="44"/>
      <c r="OBP79" s="44"/>
      <c r="OBQ79" s="44"/>
      <c r="OBR79" s="44"/>
      <c r="OBS79" s="44"/>
      <c r="OBT79" s="44"/>
      <c r="OBU79" s="44"/>
      <c r="OBV79" s="44"/>
      <c r="OBW79" s="44"/>
      <c r="OBX79" s="44"/>
      <c r="OBY79" s="44"/>
      <c r="OBZ79" s="44"/>
      <c r="OCA79" s="44"/>
      <c r="OCB79" s="44"/>
      <c r="OCC79" s="44"/>
      <c r="OCD79" s="44"/>
      <c r="OCE79" s="44"/>
      <c r="OCF79" s="44"/>
      <c r="OCG79" s="44"/>
      <c r="OCH79" s="44"/>
      <c r="OCI79" s="44"/>
      <c r="OCJ79" s="44"/>
      <c r="OCK79" s="44"/>
      <c r="OCL79" s="44"/>
      <c r="OCM79" s="44"/>
      <c r="OCN79" s="44"/>
      <c r="OCO79" s="44"/>
      <c r="OCP79" s="44"/>
      <c r="OCQ79" s="44"/>
      <c r="OCR79" s="44"/>
      <c r="OCS79" s="44"/>
      <c r="OCT79" s="44"/>
      <c r="OCU79" s="44"/>
      <c r="OCV79" s="44"/>
      <c r="OCW79" s="44"/>
      <c r="OCX79" s="44"/>
      <c r="OCY79" s="44"/>
      <c r="OCZ79" s="44"/>
      <c r="ODA79" s="44"/>
      <c r="ODB79" s="44"/>
      <c r="ODC79" s="44"/>
      <c r="ODD79" s="44"/>
      <c r="ODE79" s="44"/>
      <c r="ODF79" s="44"/>
      <c r="ODG79" s="44"/>
      <c r="ODH79" s="44"/>
      <c r="ODI79" s="44"/>
      <c r="ODJ79" s="44"/>
      <c r="ODK79" s="44"/>
      <c r="ODL79" s="44"/>
      <c r="ODM79" s="44"/>
      <c r="ODN79" s="44"/>
      <c r="ODO79" s="44"/>
      <c r="ODP79" s="44"/>
      <c r="ODQ79" s="44"/>
      <c r="ODR79" s="44"/>
      <c r="ODS79" s="44"/>
      <c r="ODT79" s="44"/>
      <c r="ODU79" s="44"/>
      <c r="ODV79" s="44"/>
      <c r="ODW79" s="44"/>
      <c r="ODX79" s="44"/>
      <c r="ODY79" s="44"/>
      <c r="ODZ79" s="44"/>
      <c r="OEA79" s="44"/>
      <c r="OEB79" s="44"/>
      <c r="OEC79" s="44"/>
      <c r="OED79" s="44"/>
      <c r="OEE79" s="44"/>
      <c r="OEF79" s="44"/>
      <c r="OEG79" s="44"/>
      <c r="OEH79" s="44"/>
      <c r="OEI79" s="44"/>
      <c r="OEJ79" s="44"/>
      <c r="OEK79" s="44"/>
      <c r="OEL79" s="44"/>
      <c r="OEM79" s="44"/>
      <c r="OEN79" s="44"/>
      <c r="OEO79" s="44"/>
      <c r="OEP79" s="44"/>
      <c r="OEQ79" s="44"/>
      <c r="OER79" s="44"/>
      <c r="OES79" s="44"/>
      <c r="OET79" s="44"/>
      <c r="OEU79" s="44"/>
      <c r="OEV79" s="44"/>
      <c r="OEW79" s="44"/>
      <c r="OEX79" s="44"/>
      <c r="OEY79" s="44"/>
      <c r="OEZ79" s="44"/>
      <c r="OFA79" s="44"/>
      <c r="OFB79" s="44"/>
      <c r="OFC79" s="44"/>
      <c r="OFD79" s="44"/>
      <c r="OFE79" s="44"/>
      <c r="OFF79" s="44"/>
      <c r="OFG79" s="44"/>
      <c r="OFH79" s="44"/>
      <c r="OFI79" s="44"/>
      <c r="OFJ79" s="44"/>
      <c r="OFK79" s="44"/>
      <c r="OFL79" s="44"/>
      <c r="OFM79" s="44"/>
      <c r="OFN79" s="44"/>
      <c r="OFO79" s="44"/>
      <c r="OFP79" s="44"/>
      <c r="OFQ79" s="44"/>
      <c r="OFR79" s="44"/>
      <c r="OFS79" s="44"/>
      <c r="OFT79" s="44"/>
      <c r="OFU79" s="44"/>
      <c r="OFV79" s="44"/>
      <c r="OFW79" s="44"/>
      <c r="OFX79" s="44"/>
      <c r="OFY79" s="44"/>
      <c r="OFZ79" s="44"/>
      <c r="OGA79" s="44"/>
      <c r="OGB79" s="44"/>
      <c r="OGC79" s="44"/>
      <c r="OGD79" s="44"/>
      <c r="OGE79" s="44"/>
      <c r="OGF79" s="44"/>
      <c r="OGG79" s="44"/>
      <c r="OGH79" s="44"/>
      <c r="OGI79" s="44"/>
      <c r="OGJ79" s="44"/>
      <c r="OGK79" s="44"/>
      <c r="OGL79" s="44"/>
      <c r="OGM79" s="44"/>
      <c r="OGN79" s="44"/>
      <c r="OGO79" s="44"/>
      <c r="OGP79" s="44"/>
      <c r="OGQ79" s="44"/>
      <c r="OGR79" s="44"/>
      <c r="OGS79" s="44"/>
      <c r="OGT79" s="44"/>
      <c r="OGU79" s="44"/>
      <c r="OGV79" s="44"/>
      <c r="OGW79" s="44"/>
      <c r="OGX79" s="44"/>
      <c r="OGY79" s="44"/>
      <c r="OGZ79" s="44"/>
      <c r="OHA79" s="44"/>
      <c r="OHB79" s="44"/>
      <c r="OHC79" s="44"/>
      <c r="OHD79" s="44"/>
      <c r="OHE79" s="44"/>
      <c r="OHF79" s="44"/>
      <c r="OHG79" s="44"/>
      <c r="OHH79" s="44"/>
      <c r="OHI79" s="44"/>
      <c r="OHJ79" s="44"/>
      <c r="OHK79" s="44"/>
      <c r="OHL79" s="44"/>
      <c r="OHM79" s="44"/>
      <c r="OHN79" s="44"/>
      <c r="OHO79" s="44"/>
      <c r="OHP79" s="44"/>
      <c r="OHQ79" s="44"/>
      <c r="OHR79" s="44"/>
      <c r="OHS79" s="44"/>
      <c r="OHT79" s="44"/>
      <c r="OHU79" s="44"/>
      <c r="OHV79" s="44"/>
      <c r="OHW79" s="44"/>
      <c r="OHX79" s="44"/>
      <c r="OHY79" s="44"/>
      <c r="OHZ79" s="44"/>
      <c r="OIA79" s="44"/>
      <c r="OIB79" s="44"/>
      <c r="OIC79" s="44"/>
      <c r="OID79" s="44"/>
      <c r="OIE79" s="44"/>
      <c r="OIF79" s="44"/>
      <c r="OIG79" s="44"/>
      <c r="OIH79" s="44"/>
      <c r="OII79" s="44"/>
      <c r="OIJ79" s="44"/>
      <c r="OIK79" s="44"/>
      <c r="OIL79" s="44"/>
      <c r="OIM79" s="44"/>
      <c r="OIN79" s="44"/>
      <c r="OIO79" s="44"/>
      <c r="OIP79" s="44"/>
      <c r="OIQ79" s="44"/>
      <c r="OIR79" s="44"/>
      <c r="OIS79" s="44"/>
      <c r="OIT79" s="44"/>
      <c r="OIU79" s="44"/>
      <c r="OIV79" s="44"/>
      <c r="OIW79" s="44"/>
      <c r="OIX79" s="44"/>
      <c r="OIY79" s="44"/>
      <c r="OIZ79" s="44"/>
      <c r="OJA79" s="44"/>
      <c r="OJB79" s="44"/>
      <c r="OJC79" s="44"/>
      <c r="OJD79" s="44"/>
      <c r="OJE79" s="44"/>
      <c r="OJF79" s="44"/>
      <c r="OJG79" s="44"/>
      <c r="OJH79" s="44"/>
      <c r="OJI79" s="44"/>
      <c r="OJJ79" s="44"/>
      <c r="OJK79" s="44"/>
      <c r="OJL79" s="44"/>
      <c r="OJM79" s="44"/>
      <c r="OJN79" s="44"/>
      <c r="OJO79" s="44"/>
      <c r="OJP79" s="44"/>
      <c r="OJQ79" s="44"/>
      <c r="OJR79" s="44"/>
      <c r="OJS79" s="44"/>
      <c r="OJT79" s="44"/>
      <c r="OJU79" s="44"/>
      <c r="OJV79" s="44"/>
      <c r="OJW79" s="44"/>
      <c r="OJX79" s="44"/>
      <c r="OJY79" s="44"/>
      <c r="OJZ79" s="44"/>
      <c r="OKA79" s="44"/>
      <c r="OKB79" s="44"/>
      <c r="OKC79" s="44"/>
      <c r="OKD79" s="44"/>
      <c r="OKE79" s="44"/>
      <c r="OKF79" s="44"/>
      <c r="OKG79" s="44"/>
      <c r="OKH79" s="44"/>
      <c r="OKI79" s="44"/>
      <c r="OKJ79" s="44"/>
      <c r="OKK79" s="44"/>
      <c r="OKL79" s="44"/>
      <c r="OKM79" s="44"/>
      <c r="OKN79" s="44"/>
      <c r="OKO79" s="44"/>
      <c r="OKP79" s="44"/>
      <c r="OKQ79" s="44"/>
      <c r="OKR79" s="44"/>
      <c r="OKS79" s="44"/>
      <c r="OKT79" s="44"/>
      <c r="OKU79" s="44"/>
      <c r="OKV79" s="44"/>
      <c r="OKW79" s="44"/>
      <c r="OKX79" s="44"/>
      <c r="OKY79" s="44"/>
      <c r="OKZ79" s="44"/>
      <c r="OLA79" s="44"/>
      <c r="OLB79" s="44"/>
      <c r="OLC79" s="44"/>
      <c r="OLD79" s="44"/>
      <c r="OLE79" s="44"/>
      <c r="OLF79" s="44"/>
      <c r="OLG79" s="44"/>
      <c r="OLH79" s="44"/>
      <c r="OLI79" s="44"/>
      <c r="OLJ79" s="44"/>
      <c r="OLK79" s="44"/>
      <c r="OLL79" s="44"/>
      <c r="OLM79" s="44"/>
      <c r="OLN79" s="44"/>
      <c r="OLO79" s="44"/>
      <c r="OLP79" s="44"/>
      <c r="OLQ79" s="44"/>
      <c r="OLR79" s="44"/>
      <c r="OLS79" s="44"/>
      <c r="OLT79" s="44"/>
      <c r="OLU79" s="44"/>
      <c r="OLV79" s="44"/>
      <c r="OLW79" s="44"/>
      <c r="OLX79" s="44"/>
      <c r="OLY79" s="44"/>
      <c r="OLZ79" s="44"/>
      <c r="OMA79" s="44"/>
      <c r="OMB79" s="44"/>
      <c r="OMC79" s="44"/>
      <c r="OMD79" s="44"/>
      <c r="OME79" s="44"/>
      <c r="OMF79" s="44"/>
      <c r="OMG79" s="44"/>
      <c r="OMH79" s="44"/>
      <c r="OMI79" s="44"/>
      <c r="OMJ79" s="44"/>
      <c r="OMK79" s="44"/>
      <c r="OML79" s="44"/>
      <c r="OMM79" s="44"/>
      <c r="OMN79" s="44"/>
      <c r="OMO79" s="44"/>
      <c r="OMP79" s="44"/>
      <c r="OMQ79" s="44"/>
      <c r="OMR79" s="44"/>
      <c r="OMS79" s="44"/>
      <c r="OMT79" s="44"/>
      <c r="OMU79" s="44"/>
      <c r="OMV79" s="44"/>
      <c r="OMW79" s="44"/>
      <c r="OMX79" s="44"/>
      <c r="OMY79" s="44"/>
      <c r="OMZ79" s="44"/>
      <c r="ONA79" s="44"/>
      <c r="ONB79" s="44"/>
      <c r="ONC79" s="44"/>
      <c r="OND79" s="44"/>
      <c r="ONE79" s="44"/>
      <c r="ONF79" s="44"/>
      <c r="ONG79" s="44"/>
      <c r="ONH79" s="44"/>
      <c r="ONI79" s="44"/>
      <c r="ONJ79" s="44"/>
      <c r="ONK79" s="44"/>
      <c r="ONL79" s="44"/>
      <c r="ONM79" s="44"/>
      <c r="ONN79" s="44"/>
      <c r="ONO79" s="44"/>
      <c r="ONP79" s="44"/>
      <c r="ONQ79" s="44"/>
      <c r="ONR79" s="44"/>
      <c r="ONS79" s="44"/>
      <c r="ONT79" s="44"/>
      <c r="ONU79" s="44"/>
      <c r="ONV79" s="44"/>
      <c r="ONW79" s="44"/>
      <c r="ONX79" s="44"/>
      <c r="ONY79" s="44"/>
      <c r="ONZ79" s="44"/>
      <c r="OOA79" s="44"/>
      <c r="OOB79" s="44"/>
      <c r="OOC79" s="44"/>
      <c r="OOD79" s="44"/>
      <c r="OOE79" s="44"/>
      <c r="OOF79" s="44"/>
      <c r="OOG79" s="44"/>
      <c r="OOH79" s="44"/>
      <c r="OOI79" s="44"/>
      <c r="OOJ79" s="44"/>
      <c r="OOK79" s="44"/>
      <c r="OOL79" s="44"/>
      <c r="OOM79" s="44"/>
      <c r="OON79" s="44"/>
      <c r="OOO79" s="44"/>
      <c r="OOP79" s="44"/>
      <c r="OOQ79" s="44"/>
      <c r="OOR79" s="44"/>
      <c r="OOS79" s="44"/>
      <c r="OOT79" s="44"/>
      <c r="OOU79" s="44"/>
      <c r="OOV79" s="44"/>
      <c r="OOW79" s="44"/>
      <c r="OOX79" s="44"/>
      <c r="OOY79" s="44"/>
      <c r="OOZ79" s="44"/>
      <c r="OPA79" s="44"/>
      <c r="OPB79" s="44"/>
      <c r="OPC79" s="44"/>
      <c r="OPD79" s="44"/>
      <c r="OPE79" s="44"/>
      <c r="OPF79" s="44"/>
      <c r="OPG79" s="44"/>
      <c r="OPH79" s="44"/>
      <c r="OPI79" s="44"/>
      <c r="OPJ79" s="44"/>
      <c r="OPK79" s="44"/>
      <c r="OPL79" s="44"/>
      <c r="OPM79" s="44"/>
      <c r="OPN79" s="44"/>
      <c r="OPO79" s="44"/>
      <c r="OPP79" s="44"/>
      <c r="OPQ79" s="44"/>
      <c r="OPR79" s="44"/>
      <c r="OPS79" s="44"/>
      <c r="OPT79" s="44"/>
      <c r="OPU79" s="44"/>
      <c r="OPV79" s="44"/>
      <c r="OPW79" s="44"/>
      <c r="OPX79" s="44"/>
      <c r="OPY79" s="44"/>
      <c r="OPZ79" s="44"/>
      <c r="OQA79" s="44"/>
      <c r="OQB79" s="44"/>
      <c r="OQC79" s="44"/>
      <c r="OQD79" s="44"/>
      <c r="OQE79" s="44"/>
      <c r="OQF79" s="44"/>
      <c r="OQG79" s="44"/>
      <c r="OQH79" s="44"/>
      <c r="OQI79" s="44"/>
      <c r="OQJ79" s="44"/>
      <c r="OQK79" s="44"/>
      <c r="OQL79" s="44"/>
      <c r="OQM79" s="44"/>
      <c r="OQN79" s="44"/>
      <c r="OQO79" s="44"/>
      <c r="OQP79" s="44"/>
      <c r="OQQ79" s="44"/>
      <c r="OQR79" s="44"/>
      <c r="OQS79" s="44"/>
      <c r="OQT79" s="44"/>
      <c r="OQU79" s="44"/>
      <c r="OQV79" s="44"/>
      <c r="OQW79" s="44"/>
      <c r="OQX79" s="44"/>
      <c r="OQY79" s="44"/>
      <c r="OQZ79" s="44"/>
      <c r="ORA79" s="44"/>
      <c r="ORB79" s="44"/>
      <c r="ORC79" s="44"/>
      <c r="ORD79" s="44"/>
      <c r="ORE79" s="44"/>
      <c r="ORF79" s="44"/>
      <c r="ORG79" s="44"/>
      <c r="ORH79" s="44"/>
      <c r="ORI79" s="44"/>
      <c r="ORJ79" s="44"/>
      <c r="ORK79" s="44"/>
      <c r="ORL79" s="44"/>
      <c r="ORM79" s="44"/>
      <c r="ORN79" s="44"/>
      <c r="ORO79" s="44"/>
      <c r="ORP79" s="44"/>
      <c r="ORQ79" s="44"/>
      <c r="ORR79" s="44"/>
      <c r="ORS79" s="44"/>
      <c r="ORT79" s="44"/>
      <c r="ORU79" s="44"/>
      <c r="ORV79" s="44"/>
      <c r="ORW79" s="44"/>
      <c r="ORX79" s="44"/>
      <c r="ORY79" s="44"/>
      <c r="ORZ79" s="44"/>
      <c r="OSA79" s="44"/>
      <c r="OSB79" s="44"/>
      <c r="OSC79" s="44"/>
      <c r="OSD79" s="44"/>
      <c r="OSE79" s="44"/>
      <c r="OSF79" s="44"/>
      <c r="OSG79" s="44"/>
      <c r="OSH79" s="44"/>
      <c r="OSI79" s="44"/>
      <c r="OSJ79" s="44"/>
      <c r="OSK79" s="44"/>
      <c r="OSL79" s="44"/>
      <c r="OSM79" s="44"/>
      <c r="OSN79" s="44"/>
      <c r="OSO79" s="44"/>
      <c r="OSP79" s="44"/>
      <c r="OSQ79" s="44"/>
      <c r="OSR79" s="44"/>
      <c r="OSS79" s="44"/>
      <c r="OST79" s="44"/>
      <c r="OSU79" s="44"/>
      <c r="OSV79" s="44"/>
      <c r="OSW79" s="44"/>
      <c r="OSX79" s="44"/>
      <c r="OSY79" s="44"/>
      <c r="OSZ79" s="44"/>
      <c r="OTA79" s="44"/>
      <c r="OTB79" s="44"/>
      <c r="OTC79" s="44"/>
      <c r="OTD79" s="44"/>
      <c r="OTE79" s="44"/>
      <c r="OTF79" s="44"/>
      <c r="OTG79" s="44"/>
      <c r="OTH79" s="44"/>
      <c r="OTI79" s="44"/>
      <c r="OTJ79" s="44"/>
      <c r="OTK79" s="44"/>
      <c r="OTL79" s="44"/>
      <c r="OTM79" s="44"/>
      <c r="OTN79" s="44"/>
      <c r="OTO79" s="44"/>
      <c r="OTP79" s="44"/>
      <c r="OTQ79" s="44"/>
      <c r="OTR79" s="44"/>
      <c r="OTS79" s="44"/>
      <c r="OTT79" s="44"/>
      <c r="OTU79" s="44"/>
      <c r="OTV79" s="44"/>
      <c r="OTW79" s="44"/>
      <c r="OTX79" s="44"/>
      <c r="OTY79" s="44"/>
      <c r="OTZ79" s="44"/>
      <c r="OUA79" s="44"/>
      <c r="OUB79" s="44"/>
      <c r="OUC79" s="44"/>
      <c r="OUD79" s="44"/>
      <c r="OUE79" s="44"/>
      <c r="OUF79" s="44"/>
      <c r="OUG79" s="44"/>
      <c r="OUH79" s="44"/>
      <c r="OUI79" s="44"/>
      <c r="OUJ79" s="44"/>
      <c r="OUK79" s="44"/>
      <c r="OUL79" s="44"/>
      <c r="OUM79" s="44"/>
      <c r="OUN79" s="44"/>
      <c r="OUO79" s="44"/>
      <c r="OUP79" s="44"/>
      <c r="OUQ79" s="44"/>
      <c r="OUR79" s="44"/>
      <c r="OUS79" s="44"/>
      <c r="OUT79" s="44"/>
      <c r="OUU79" s="44"/>
      <c r="OUV79" s="44"/>
      <c r="OUW79" s="44"/>
      <c r="OUX79" s="44"/>
      <c r="OUY79" s="44"/>
      <c r="OUZ79" s="44"/>
      <c r="OVA79" s="44"/>
      <c r="OVB79" s="44"/>
      <c r="OVC79" s="44"/>
      <c r="OVD79" s="44"/>
      <c r="OVE79" s="44"/>
      <c r="OVF79" s="44"/>
      <c r="OVG79" s="44"/>
      <c r="OVH79" s="44"/>
      <c r="OVI79" s="44"/>
      <c r="OVJ79" s="44"/>
      <c r="OVK79" s="44"/>
      <c r="OVL79" s="44"/>
      <c r="OVM79" s="44"/>
      <c r="OVN79" s="44"/>
      <c r="OVO79" s="44"/>
      <c r="OVP79" s="44"/>
      <c r="OVQ79" s="44"/>
      <c r="OVR79" s="44"/>
      <c r="OVS79" s="44"/>
      <c r="OVT79" s="44"/>
      <c r="OVU79" s="44"/>
      <c r="OVV79" s="44"/>
      <c r="OVW79" s="44"/>
      <c r="OVX79" s="44"/>
      <c r="OVY79" s="44"/>
      <c r="OVZ79" s="44"/>
      <c r="OWA79" s="44"/>
      <c r="OWB79" s="44"/>
      <c r="OWC79" s="44"/>
      <c r="OWD79" s="44"/>
      <c r="OWE79" s="44"/>
      <c r="OWF79" s="44"/>
      <c r="OWG79" s="44"/>
      <c r="OWH79" s="44"/>
      <c r="OWI79" s="44"/>
      <c r="OWJ79" s="44"/>
      <c r="OWK79" s="44"/>
      <c r="OWL79" s="44"/>
      <c r="OWM79" s="44"/>
      <c r="OWN79" s="44"/>
      <c r="OWO79" s="44"/>
      <c r="OWP79" s="44"/>
      <c r="OWQ79" s="44"/>
      <c r="OWR79" s="44"/>
      <c r="OWS79" s="44"/>
      <c r="OWT79" s="44"/>
      <c r="OWU79" s="44"/>
      <c r="OWV79" s="44"/>
      <c r="OWW79" s="44"/>
      <c r="OWX79" s="44"/>
      <c r="OWY79" s="44"/>
      <c r="OWZ79" s="44"/>
      <c r="OXA79" s="44"/>
      <c r="OXB79" s="44"/>
      <c r="OXC79" s="44"/>
      <c r="OXD79" s="44"/>
      <c r="OXE79" s="44"/>
      <c r="OXF79" s="44"/>
      <c r="OXG79" s="44"/>
      <c r="OXH79" s="44"/>
      <c r="OXI79" s="44"/>
      <c r="OXJ79" s="44"/>
      <c r="OXK79" s="44"/>
      <c r="OXL79" s="44"/>
      <c r="OXM79" s="44"/>
      <c r="OXN79" s="44"/>
      <c r="OXO79" s="44"/>
      <c r="OXP79" s="44"/>
      <c r="OXQ79" s="44"/>
      <c r="OXR79" s="44"/>
      <c r="OXS79" s="44"/>
      <c r="OXT79" s="44"/>
      <c r="OXU79" s="44"/>
      <c r="OXV79" s="44"/>
      <c r="OXW79" s="44"/>
      <c r="OXX79" s="44"/>
      <c r="OXY79" s="44"/>
      <c r="OXZ79" s="44"/>
      <c r="OYA79" s="44"/>
      <c r="OYB79" s="44"/>
      <c r="OYC79" s="44"/>
      <c r="OYD79" s="44"/>
      <c r="OYE79" s="44"/>
      <c r="OYF79" s="44"/>
      <c r="OYG79" s="44"/>
      <c r="OYH79" s="44"/>
      <c r="OYI79" s="44"/>
      <c r="OYJ79" s="44"/>
      <c r="OYK79" s="44"/>
      <c r="OYL79" s="44"/>
      <c r="OYM79" s="44"/>
      <c r="OYN79" s="44"/>
      <c r="OYO79" s="44"/>
      <c r="OYP79" s="44"/>
      <c r="OYQ79" s="44"/>
      <c r="OYR79" s="44"/>
      <c r="OYS79" s="44"/>
      <c r="OYT79" s="44"/>
      <c r="OYU79" s="44"/>
      <c r="OYV79" s="44"/>
      <c r="OYW79" s="44"/>
      <c r="OYX79" s="44"/>
      <c r="OYY79" s="44"/>
      <c r="OYZ79" s="44"/>
      <c r="OZA79" s="44"/>
      <c r="OZB79" s="44"/>
      <c r="OZC79" s="44"/>
      <c r="OZD79" s="44"/>
      <c r="OZE79" s="44"/>
      <c r="OZF79" s="44"/>
      <c r="OZG79" s="44"/>
      <c r="OZH79" s="44"/>
      <c r="OZI79" s="44"/>
      <c r="OZJ79" s="44"/>
      <c r="OZK79" s="44"/>
      <c r="OZL79" s="44"/>
      <c r="OZM79" s="44"/>
      <c r="OZN79" s="44"/>
      <c r="OZO79" s="44"/>
      <c r="OZP79" s="44"/>
      <c r="OZQ79" s="44"/>
      <c r="OZR79" s="44"/>
      <c r="OZS79" s="44"/>
      <c r="OZT79" s="44"/>
      <c r="OZU79" s="44"/>
      <c r="OZV79" s="44"/>
      <c r="OZW79" s="44"/>
      <c r="OZX79" s="44"/>
      <c r="OZY79" s="44"/>
      <c r="OZZ79" s="44"/>
      <c r="PAA79" s="44"/>
      <c r="PAB79" s="44"/>
      <c r="PAC79" s="44"/>
      <c r="PAD79" s="44"/>
      <c r="PAE79" s="44"/>
      <c r="PAF79" s="44"/>
      <c r="PAG79" s="44"/>
      <c r="PAH79" s="44"/>
      <c r="PAI79" s="44"/>
      <c r="PAJ79" s="44"/>
      <c r="PAK79" s="44"/>
      <c r="PAL79" s="44"/>
      <c r="PAM79" s="44"/>
      <c r="PAN79" s="44"/>
      <c r="PAO79" s="44"/>
      <c r="PAP79" s="44"/>
      <c r="PAQ79" s="44"/>
      <c r="PAR79" s="44"/>
      <c r="PAS79" s="44"/>
      <c r="PAT79" s="44"/>
      <c r="PAU79" s="44"/>
      <c r="PAV79" s="44"/>
      <c r="PAW79" s="44"/>
      <c r="PAX79" s="44"/>
      <c r="PAY79" s="44"/>
      <c r="PAZ79" s="44"/>
      <c r="PBA79" s="44"/>
      <c r="PBB79" s="44"/>
      <c r="PBC79" s="44"/>
      <c r="PBD79" s="44"/>
      <c r="PBE79" s="44"/>
      <c r="PBF79" s="44"/>
      <c r="PBG79" s="44"/>
      <c r="PBH79" s="44"/>
      <c r="PBI79" s="44"/>
      <c r="PBJ79" s="44"/>
      <c r="PBK79" s="44"/>
      <c r="PBL79" s="44"/>
      <c r="PBM79" s="44"/>
      <c r="PBN79" s="44"/>
      <c r="PBO79" s="44"/>
      <c r="PBP79" s="44"/>
      <c r="PBQ79" s="44"/>
      <c r="PBR79" s="44"/>
      <c r="PBS79" s="44"/>
      <c r="PBT79" s="44"/>
      <c r="PBU79" s="44"/>
      <c r="PBV79" s="44"/>
      <c r="PBW79" s="44"/>
      <c r="PBX79" s="44"/>
      <c r="PBY79" s="44"/>
      <c r="PBZ79" s="44"/>
      <c r="PCA79" s="44"/>
      <c r="PCB79" s="44"/>
      <c r="PCC79" s="44"/>
      <c r="PCD79" s="44"/>
      <c r="PCE79" s="44"/>
      <c r="PCF79" s="44"/>
      <c r="PCG79" s="44"/>
      <c r="PCH79" s="44"/>
      <c r="PCI79" s="44"/>
      <c r="PCJ79" s="44"/>
      <c r="PCK79" s="44"/>
      <c r="PCL79" s="44"/>
      <c r="PCM79" s="44"/>
      <c r="PCN79" s="44"/>
      <c r="PCO79" s="44"/>
      <c r="PCP79" s="44"/>
      <c r="PCQ79" s="44"/>
      <c r="PCR79" s="44"/>
      <c r="PCS79" s="44"/>
      <c r="PCT79" s="44"/>
      <c r="PCU79" s="44"/>
      <c r="PCV79" s="44"/>
      <c r="PCW79" s="44"/>
      <c r="PCX79" s="44"/>
      <c r="PCY79" s="44"/>
      <c r="PCZ79" s="44"/>
      <c r="PDA79" s="44"/>
      <c r="PDB79" s="44"/>
      <c r="PDC79" s="44"/>
      <c r="PDD79" s="44"/>
      <c r="PDE79" s="44"/>
      <c r="PDF79" s="44"/>
      <c r="PDG79" s="44"/>
      <c r="PDH79" s="44"/>
      <c r="PDI79" s="44"/>
      <c r="PDJ79" s="44"/>
      <c r="PDK79" s="44"/>
      <c r="PDL79" s="44"/>
      <c r="PDM79" s="44"/>
      <c r="PDN79" s="44"/>
      <c r="PDO79" s="44"/>
      <c r="PDP79" s="44"/>
      <c r="PDQ79" s="44"/>
      <c r="PDR79" s="44"/>
      <c r="PDS79" s="44"/>
      <c r="PDT79" s="44"/>
      <c r="PDU79" s="44"/>
      <c r="PDV79" s="44"/>
      <c r="PDW79" s="44"/>
      <c r="PDX79" s="44"/>
      <c r="PDY79" s="44"/>
      <c r="PDZ79" s="44"/>
      <c r="PEA79" s="44"/>
      <c r="PEB79" s="44"/>
      <c r="PEC79" s="44"/>
      <c r="PED79" s="44"/>
      <c r="PEE79" s="44"/>
      <c r="PEF79" s="44"/>
      <c r="PEG79" s="44"/>
      <c r="PEH79" s="44"/>
      <c r="PEI79" s="44"/>
      <c r="PEJ79" s="44"/>
      <c r="PEK79" s="44"/>
      <c r="PEL79" s="44"/>
      <c r="PEM79" s="44"/>
      <c r="PEN79" s="44"/>
      <c r="PEO79" s="44"/>
      <c r="PEP79" s="44"/>
      <c r="PEQ79" s="44"/>
      <c r="PER79" s="44"/>
      <c r="PES79" s="44"/>
      <c r="PET79" s="44"/>
      <c r="PEU79" s="44"/>
      <c r="PEV79" s="44"/>
      <c r="PEW79" s="44"/>
      <c r="PEX79" s="44"/>
      <c r="PEY79" s="44"/>
      <c r="PEZ79" s="44"/>
      <c r="PFA79" s="44"/>
      <c r="PFB79" s="44"/>
      <c r="PFC79" s="44"/>
      <c r="PFD79" s="44"/>
      <c r="PFE79" s="44"/>
      <c r="PFF79" s="44"/>
      <c r="PFG79" s="44"/>
      <c r="PFH79" s="44"/>
      <c r="PFI79" s="44"/>
      <c r="PFJ79" s="44"/>
      <c r="PFK79" s="44"/>
      <c r="PFL79" s="44"/>
      <c r="PFM79" s="44"/>
      <c r="PFN79" s="44"/>
      <c r="PFO79" s="44"/>
      <c r="PFP79" s="44"/>
      <c r="PFQ79" s="44"/>
      <c r="PFR79" s="44"/>
      <c r="PFS79" s="44"/>
      <c r="PFT79" s="44"/>
      <c r="PFU79" s="44"/>
      <c r="PFV79" s="44"/>
      <c r="PFW79" s="44"/>
      <c r="PFX79" s="44"/>
      <c r="PFY79" s="44"/>
      <c r="PFZ79" s="44"/>
      <c r="PGA79" s="44"/>
      <c r="PGB79" s="44"/>
      <c r="PGC79" s="44"/>
      <c r="PGD79" s="44"/>
      <c r="PGE79" s="44"/>
      <c r="PGF79" s="44"/>
      <c r="PGG79" s="44"/>
      <c r="PGH79" s="44"/>
      <c r="PGI79" s="44"/>
      <c r="PGJ79" s="44"/>
      <c r="PGK79" s="44"/>
      <c r="PGL79" s="44"/>
      <c r="PGM79" s="44"/>
      <c r="PGN79" s="44"/>
      <c r="PGO79" s="44"/>
      <c r="PGP79" s="44"/>
      <c r="PGQ79" s="44"/>
      <c r="PGR79" s="44"/>
      <c r="PGS79" s="44"/>
      <c r="PGT79" s="44"/>
      <c r="PGU79" s="44"/>
      <c r="PGV79" s="44"/>
      <c r="PGW79" s="44"/>
      <c r="PGX79" s="44"/>
      <c r="PGY79" s="44"/>
      <c r="PGZ79" s="44"/>
      <c r="PHA79" s="44"/>
      <c r="PHB79" s="44"/>
      <c r="PHC79" s="44"/>
      <c r="PHD79" s="44"/>
      <c r="PHE79" s="44"/>
      <c r="PHF79" s="44"/>
      <c r="PHG79" s="44"/>
      <c r="PHH79" s="44"/>
      <c r="PHI79" s="44"/>
      <c r="PHJ79" s="44"/>
      <c r="PHK79" s="44"/>
      <c r="PHL79" s="44"/>
      <c r="PHM79" s="44"/>
      <c r="PHN79" s="44"/>
      <c r="PHO79" s="44"/>
      <c r="PHP79" s="44"/>
      <c r="PHQ79" s="44"/>
      <c r="PHR79" s="44"/>
      <c r="PHS79" s="44"/>
      <c r="PHT79" s="44"/>
      <c r="PHU79" s="44"/>
      <c r="PHV79" s="44"/>
      <c r="PHW79" s="44"/>
      <c r="PHX79" s="44"/>
      <c r="PHY79" s="44"/>
      <c r="PHZ79" s="44"/>
      <c r="PIA79" s="44"/>
      <c r="PIB79" s="44"/>
      <c r="PIC79" s="44"/>
      <c r="PID79" s="44"/>
      <c r="PIE79" s="44"/>
      <c r="PIF79" s="44"/>
      <c r="PIG79" s="44"/>
      <c r="PIH79" s="44"/>
      <c r="PII79" s="44"/>
      <c r="PIJ79" s="44"/>
      <c r="PIK79" s="44"/>
      <c r="PIL79" s="44"/>
      <c r="PIM79" s="44"/>
      <c r="PIN79" s="44"/>
      <c r="PIO79" s="44"/>
      <c r="PIP79" s="44"/>
      <c r="PIQ79" s="44"/>
      <c r="PIR79" s="44"/>
      <c r="PIS79" s="44"/>
      <c r="PIT79" s="44"/>
      <c r="PIU79" s="44"/>
      <c r="PIV79" s="44"/>
      <c r="PIW79" s="44"/>
      <c r="PIX79" s="44"/>
      <c r="PIY79" s="44"/>
      <c r="PIZ79" s="44"/>
      <c r="PJA79" s="44"/>
      <c r="PJB79" s="44"/>
      <c r="PJC79" s="44"/>
      <c r="PJD79" s="44"/>
      <c r="PJE79" s="44"/>
      <c r="PJF79" s="44"/>
      <c r="PJG79" s="44"/>
      <c r="PJH79" s="44"/>
      <c r="PJI79" s="44"/>
      <c r="PJJ79" s="44"/>
      <c r="PJK79" s="44"/>
      <c r="PJL79" s="44"/>
      <c r="PJM79" s="44"/>
      <c r="PJN79" s="44"/>
      <c r="PJO79" s="44"/>
      <c r="PJP79" s="44"/>
      <c r="PJQ79" s="44"/>
      <c r="PJR79" s="44"/>
      <c r="PJS79" s="44"/>
      <c r="PJT79" s="44"/>
      <c r="PJU79" s="44"/>
      <c r="PJV79" s="44"/>
      <c r="PJW79" s="44"/>
      <c r="PJX79" s="44"/>
      <c r="PJY79" s="44"/>
      <c r="PJZ79" s="44"/>
      <c r="PKA79" s="44"/>
      <c r="PKB79" s="44"/>
      <c r="PKC79" s="44"/>
      <c r="PKD79" s="44"/>
      <c r="PKE79" s="44"/>
      <c r="PKF79" s="44"/>
      <c r="PKG79" s="44"/>
      <c r="PKH79" s="44"/>
      <c r="PKI79" s="44"/>
      <c r="PKJ79" s="44"/>
      <c r="PKK79" s="44"/>
      <c r="PKL79" s="44"/>
      <c r="PKM79" s="44"/>
      <c r="PKN79" s="44"/>
      <c r="PKO79" s="44"/>
      <c r="PKP79" s="44"/>
      <c r="PKQ79" s="44"/>
      <c r="PKR79" s="44"/>
      <c r="PKS79" s="44"/>
      <c r="PKT79" s="44"/>
      <c r="PKU79" s="44"/>
      <c r="PKV79" s="44"/>
      <c r="PKW79" s="44"/>
      <c r="PKX79" s="44"/>
      <c r="PKY79" s="44"/>
      <c r="PKZ79" s="44"/>
      <c r="PLA79" s="44"/>
      <c r="PLB79" s="44"/>
      <c r="PLC79" s="44"/>
      <c r="PLD79" s="44"/>
      <c r="PLE79" s="44"/>
      <c r="PLF79" s="44"/>
      <c r="PLG79" s="44"/>
      <c r="PLH79" s="44"/>
      <c r="PLI79" s="44"/>
      <c r="PLJ79" s="44"/>
      <c r="PLK79" s="44"/>
      <c r="PLL79" s="44"/>
      <c r="PLM79" s="44"/>
      <c r="PLN79" s="44"/>
      <c r="PLO79" s="44"/>
      <c r="PLP79" s="44"/>
      <c r="PLQ79" s="44"/>
      <c r="PLR79" s="44"/>
      <c r="PLS79" s="44"/>
      <c r="PLT79" s="44"/>
      <c r="PLU79" s="44"/>
      <c r="PLV79" s="44"/>
      <c r="PLW79" s="44"/>
      <c r="PLX79" s="44"/>
      <c r="PLY79" s="44"/>
      <c r="PLZ79" s="44"/>
      <c r="PMA79" s="44"/>
      <c r="PMB79" s="44"/>
      <c r="PMC79" s="44"/>
      <c r="PMD79" s="44"/>
      <c r="PME79" s="44"/>
      <c r="PMF79" s="44"/>
      <c r="PMG79" s="44"/>
      <c r="PMH79" s="44"/>
      <c r="PMI79" s="44"/>
      <c r="PMJ79" s="44"/>
      <c r="PMK79" s="44"/>
      <c r="PML79" s="44"/>
      <c r="PMM79" s="44"/>
      <c r="PMN79" s="44"/>
      <c r="PMO79" s="44"/>
      <c r="PMP79" s="44"/>
      <c r="PMQ79" s="44"/>
      <c r="PMR79" s="44"/>
      <c r="PMS79" s="44"/>
      <c r="PMT79" s="44"/>
      <c r="PMU79" s="44"/>
      <c r="PMV79" s="44"/>
      <c r="PMW79" s="44"/>
      <c r="PMX79" s="44"/>
      <c r="PMY79" s="44"/>
      <c r="PMZ79" s="44"/>
      <c r="PNA79" s="44"/>
      <c r="PNB79" s="44"/>
      <c r="PNC79" s="44"/>
      <c r="PND79" s="44"/>
      <c r="PNE79" s="44"/>
      <c r="PNF79" s="44"/>
      <c r="PNG79" s="44"/>
      <c r="PNH79" s="44"/>
      <c r="PNI79" s="44"/>
      <c r="PNJ79" s="44"/>
      <c r="PNK79" s="44"/>
      <c r="PNL79" s="44"/>
      <c r="PNM79" s="44"/>
      <c r="PNN79" s="44"/>
      <c r="PNO79" s="44"/>
      <c r="PNP79" s="44"/>
      <c r="PNQ79" s="44"/>
      <c r="PNR79" s="44"/>
      <c r="PNS79" s="44"/>
      <c r="PNT79" s="44"/>
      <c r="PNU79" s="44"/>
      <c r="PNV79" s="44"/>
      <c r="PNW79" s="44"/>
      <c r="PNX79" s="44"/>
      <c r="PNY79" s="44"/>
      <c r="PNZ79" s="44"/>
      <c r="POA79" s="44"/>
      <c r="POB79" s="44"/>
      <c r="POC79" s="44"/>
      <c r="POD79" s="44"/>
      <c r="POE79" s="44"/>
      <c r="POF79" s="44"/>
      <c r="POG79" s="44"/>
      <c r="POH79" s="44"/>
      <c r="POI79" s="44"/>
      <c r="POJ79" s="44"/>
      <c r="POK79" s="44"/>
      <c r="POL79" s="44"/>
      <c r="POM79" s="44"/>
      <c r="PON79" s="44"/>
      <c r="POO79" s="44"/>
      <c r="POP79" s="44"/>
      <c r="POQ79" s="44"/>
      <c r="POR79" s="44"/>
      <c r="POS79" s="44"/>
      <c r="POT79" s="44"/>
      <c r="POU79" s="44"/>
      <c r="POV79" s="44"/>
      <c r="POW79" s="44"/>
      <c r="POX79" s="44"/>
      <c r="POY79" s="44"/>
      <c r="POZ79" s="44"/>
      <c r="PPA79" s="44"/>
      <c r="PPB79" s="44"/>
      <c r="PPC79" s="44"/>
      <c r="PPD79" s="44"/>
      <c r="PPE79" s="44"/>
      <c r="PPF79" s="44"/>
      <c r="PPG79" s="44"/>
      <c r="PPH79" s="44"/>
      <c r="PPI79" s="44"/>
      <c r="PPJ79" s="44"/>
      <c r="PPK79" s="44"/>
      <c r="PPL79" s="44"/>
      <c r="PPM79" s="44"/>
      <c r="PPN79" s="44"/>
      <c r="PPO79" s="44"/>
      <c r="PPP79" s="44"/>
      <c r="PPQ79" s="44"/>
      <c r="PPR79" s="44"/>
      <c r="PPS79" s="44"/>
      <c r="PPT79" s="44"/>
      <c r="PPU79" s="44"/>
      <c r="PPV79" s="44"/>
      <c r="PPW79" s="44"/>
      <c r="PPX79" s="44"/>
      <c r="PPY79" s="44"/>
      <c r="PPZ79" s="44"/>
      <c r="PQA79" s="44"/>
      <c r="PQB79" s="44"/>
      <c r="PQC79" s="44"/>
      <c r="PQD79" s="44"/>
      <c r="PQE79" s="44"/>
      <c r="PQF79" s="44"/>
      <c r="PQG79" s="44"/>
      <c r="PQH79" s="44"/>
      <c r="PQI79" s="44"/>
      <c r="PQJ79" s="44"/>
      <c r="PQK79" s="44"/>
      <c r="PQL79" s="44"/>
      <c r="PQM79" s="44"/>
      <c r="PQN79" s="44"/>
      <c r="PQO79" s="44"/>
      <c r="PQP79" s="44"/>
      <c r="PQQ79" s="44"/>
      <c r="PQR79" s="44"/>
      <c r="PQS79" s="44"/>
      <c r="PQT79" s="44"/>
      <c r="PQU79" s="44"/>
      <c r="PQV79" s="44"/>
      <c r="PQW79" s="44"/>
      <c r="PQX79" s="44"/>
      <c r="PQY79" s="44"/>
      <c r="PQZ79" s="44"/>
      <c r="PRA79" s="44"/>
      <c r="PRB79" s="44"/>
      <c r="PRC79" s="44"/>
      <c r="PRD79" s="44"/>
      <c r="PRE79" s="44"/>
      <c r="PRF79" s="44"/>
      <c r="PRG79" s="44"/>
      <c r="PRH79" s="44"/>
      <c r="PRI79" s="44"/>
      <c r="PRJ79" s="44"/>
      <c r="PRK79" s="44"/>
      <c r="PRL79" s="44"/>
      <c r="PRM79" s="44"/>
      <c r="PRN79" s="44"/>
      <c r="PRO79" s="44"/>
      <c r="PRP79" s="44"/>
      <c r="PRQ79" s="44"/>
      <c r="PRR79" s="44"/>
      <c r="PRS79" s="44"/>
      <c r="PRT79" s="44"/>
      <c r="PRU79" s="44"/>
      <c r="PRV79" s="44"/>
      <c r="PRW79" s="44"/>
      <c r="PRX79" s="44"/>
      <c r="PRY79" s="44"/>
      <c r="PRZ79" s="44"/>
      <c r="PSA79" s="44"/>
      <c r="PSB79" s="44"/>
      <c r="PSC79" s="44"/>
      <c r="PSD79" s="44"/>
      <c r="PSE79" s="44"/>
      <c r="PSF79" s="44"/>
      <c r="PSG79" s="44"/>
      <c r="PSH79" s="44"/>
      <c r="PSI79" s="44"/>
      <c r="PSJ79" s="44"/>
      <c r="PSK79" s="44"/>
      <c r="PSL79" s="44"/>
      <c r="PSM79" s="44"/>
      <c r="PSN79" s="44"/>
      <c r="PSO79" s="44"/>
      <c r="PSP79" s="44"/>
      <c r="PSQ79" s="44"/>
      <c r="PSR79" s="44"/>
      <c r="PSS79" s="44"/>
      <c r="PST79" s="44"/>
      <c r="PSU79" s="44"/>
      <c r="PSV79" s="44"/>
      <c r="PSW79" s="44"/>
      <c r="PSX79" s="44"/>
      <c r="PSY79" s="44"/>
      <c r="PSZ79" s="44"/>
      <c r="PTA79" s="44"/>
      <c r="PTB79" s="44"/>
      <c r="PTC79" s="44"/>
      <c r="PTD79" s="44"/>
      <c r="PTE79" s="44"/>
      <c r="PTF79" s="44"/>
      <c r="PTG79" s="44"/>
      <c r="PTH79" s="44"/>
      <c r="PTI79" s="44"/>
      <c r="PTJ79" s="44"/>
      <c r="PTK79" s="44"/>
      <c r="PTL79" s="44"/>
      <c r="PTM79" s="44"/>
      <c r="PTN79" s="44"/>
      <c r="PTO79" s="44"/>
      <c r="PTP79" s="44"/>
      <c r="PTQ79" s="44"/>
      <c r="PTR79" s="44"/>
      <c r="PTS79" s="44"/>
      <c r="PTT79" s="44"/>
      <c r="PTU79" s="44"/>
      <c r="PTV79" s="44"/>
      <c r="PTW79" s="44"/>
      <c r="PTX79" s="44"/>
      <c r="PTY79" s="44"/>
      <c r="PTZ79" s="44"/>
      <c r="PUA79" s="44"/>
      <c r="PUB79" s="44"/>
      <c r="PUC79" s="44"/>
      <c r="PUD79" s="44"/>
      <c r="PUE79" s="44"/>
      <c r="PUF79" s="44"/>
      <c r="PUG79" s="44"/>
      <c r="PUH79" s="44"/>
      <c r="PUI79" s="44"/>
      <c r="PUJ79" s="44"/>
      <c r="PUK79" s="44"/>
      <c r="PUL79" s="44"/>
      <c r="PUM79" s="44"/>
      <c r="PUN79" s="44"/>
      <c r="PUO79" s="44"/>
      <c r="PUP79" s="44"/>
      <c r="PUQ79" s="44"/>
      <c r="PUR79" s="44"/>
      <c r="PUS79" s="44"/>
      <c r="PUT79" s="44"/>
      <c r="PUU79" s="44"/>
      <c r="PUV79" s="44"/>
      <c r="PUW79" s="44"/>
      <c r="PUX79" s="44"/>
      <c r="PUY79" s="44"/>
      <c r="PUZ79" s="44"/>
      <c r="PVA79" s="44"/>
      <c r="PVB79" s="44"/>
      <c r="PVC79" s="44"/>
      <c r="PVD79" s="44"/>
      <c r="PVE79" s="44"/>
      <c r="PVF79" s="44"/>
      <c r="PVG79" s="44"/>
      <c r="PVH79" s="44"/>
      <c r="PVI79" s="44"/>
      <c r="PVJ79" s="44"/>
      <c r="PVK79" s="44"/>
      <c r="PVL79" s="44"/>
      <c r="PVM79" s="44"/>
      <c r="PVN79" s="44"/>
      <c r="PVO79" s="44"/>
      <c r="PVP79" s="44"/>
      <c r="PVQ79" s="44"/>
      <c r="PVR79" s="44"/>
      <c r="PVS79" s="44"/>
      <c r="PVT79" s="44"/>
      <c r="PVU79" s="44"/>
      <c r="PVV79" s="44"/>
      <c r="PVW79" s="44"/>
      <c r="PVX79" s="44"/>
      <c r="PVY79" s="44"/>
      <c r="PVZ79" s="44"/>
      <c r="PWA79" s="44"/>
      <c r="PWB79" s="44"/>
      <c r="PWC79" s="44"/>
      <c r="PWD79" s="44"/>
      <c r="PWE79" s="44"/>
      <c r="PWF79" s="44"/>
      <c r="PWG79" s="44"/>
      <c r="PWH79" s="44"/>
      <c r="PWI79" s="44"/>
      <c r="PWJ79" s="44"/>
      <c r="PWK79" s="44"/>
      <c r="PWL79" s="44"/>
      <c r="PWM79" s="44"/>
      <c r="PWN79" s="44"/>
      <c r="PWO79" s="44"/>
      <c r="PWP79" s="44"/>
      <c r="PWQ79" s="44"/>
      <c r="PWR79" s="44"/>
      <c r="PWS79" s="44"/>
      <c r="PWT79" s="44"/>
      <c r="PWU79" s="44"/>
      <c r="PWV79" s="44"/>
      <c r="PWW79" s="44"/>
      <c r="PWX79" s="44"/>
      <c r="PWY79" s="44"/>
      <c r="PWZ79" s="44"/>
      <c r="PXA79" s="44"/>
      <c r="PXB79" s="44"/>
      <c r="PXC79" s="44"/>
      <c r="PXD79" s="44"/>
      <c r="PXE79" s="44"/>
      <c r="PXF79" s="44"/>
      <c r="PXG79" s="44"/>
      <c r="PXH79" s="44"/>
      <c r="PXI79" s="44"/>
      <c r="PXJ79" s="44"/>
      <c r="PXK79" s="44"/>
      <c r="PXL79" s="44"/>
      <c r="PXM79" s="44"/>
      <c r="PXN79" s="44"/>
      <c r="PXO79" s="44"/>
      <c r="PXP79" s="44"/>
      <c r="PXQ79" s="44"/>
      <c r="PXR79" s="44"/>
      <c r="PXS79" s="44"/>
      <c r="PXT79" s="44"/>
      <c r="PXU79" s="44"/>
      <c r="PXV79" s="44"/>
      <c r="PXW79" s="44"/>
      <c r="PXX79" s="44"/>
      <c r="PXY79" s="44"/>
      <c r="PXZ79" s="44"/>
      <c r="PYA79" s="44"/>
      <c r="PYB79" s="44"/>
      <c r="PYC79" s="44"/>
      <c r="PYD79" s="44"/>
      <c r="PYE79" s="44"/>
      <c r="PYF79" s="44"/>
      <c r="PYG79" s="44"/>
      <c r="PYH79" s="44"/>
      <c r="PYI79" s="44"/>
      <c r="PYJ79" s="44"/>
      <c r="PYK79" s="44"/>
      <c r="PYL79" s="44"/>
      <c r="PYM79" s="44"/>
      <c r="PYN79" s="44"/>
      <c r="PYO79" s="44"/>
      <c r="PYP79" s="44"/>
      <c r="PYQ79" s="44"/>
      <c r="PYR79" s="44"/>
      <c r="PYS79" s="44"/>
      <c r="PYT79" s="44"/>
      <c r="PYU79" s="44"/>
      <c r="PYV79" s="44"/>
      <c r="PYW79" s="44"/>
      <c r="PYX79" s="44"/>
      <c r="PYY79" s="44"/>
      <c r="PYZ79" s="44"/>
      <c r="PZA79" s="44"/>
      <c r="PZB79" s="44"/>
      <c r="PZC79" s="44"/>
      <c r="PZD79" s="44"/>
      <c r="PZE79" s="44"/>
      <c r="PZF79" s="44"/>
      <c r="PZG79" s="44"/>
      <c r="PZH79" s="44"/>
      <c r="PZI79" s="44"/>
      <c r="PZJ79" s="44"/>
      <c r="PZK79" s="44"/>
      <c r="PZL79" s="44"/>
      <c r="PZM79" s="44"/>
      <c r="PZN79" s="44"/>
      <c r="PZO79" s="44"/>
      <c r="PZP79" s="44"/>
      <c r="PZQ79" s="44"/>
      <c r="PZR79" s="44"/>
      <c r="PZS79" s="44"/>
      <c r="PZT79" s="44"/>
      <c r="PZU79" s="44"/>
      <c r="PZV79" s="44"/>
      <c r="PZW79" s="44"/>
      <c r="PZX79" s="44"/>
      <c r="PZY79" s="44"/>
      <c r="PZZ79" s="44"/>
      <c r="QAA79" s="44"/>
      <c r="QAB79" s="44"/>
      <c r="QAC79" s="44"/>
      <c r="QAD79" s="44"/>
      <c r="QAE79" s="44"/>
      <c r="QAF79" s="44"/>
      <c r="QAG79" s="44"/>
      <c r="QAH79" s="44"/>
      <c r="QAI79" s="44"/>
      <c r="QAJ79" s="44"/>
      <c r="QAK79" s="44"/>
      <c r="QAL79" s="44"/>
      <c r="QAM79" s="44"/>
      <c r="QAN79" s="44"/>
      <c r="QAO79" s="44"/>
      <c r="QAP79" s="44"/>
      <c r="QAQ79" s="44"/>
      <c r="QAR79" s="44"/>
      <c r="QAS79" s="44"/>
      <c r="QAT79" s="44"/>
      <c r="QAU79" s="44"/>
      <c r="QAV79" s="44"/>
      <c r="QAW79" s="44"/>
      <c r="QAX79" s="44"/>
      <c r="QAY79" s="44"/>
      <c r="QAZ79" s="44"/>
      <c r="QBA79" s="44"/>
      <c r="QBB79" s="44"/>
      <c r="QBC79" s="44"/>
      <c r="QBD79" s="44"/>
      <c r="QBE79" s="44"/>
      <c r="QBF79" s="44"/>
      <c r="QBG79" s="44"/>
      <c r="QBH79" s="44"/>
      <c r="QBI79" s="44"/>
      <c r="QBJ79" s="44"/>
      <c r="QBK79" s="44"/>
      <c r="QBL79" s="44"/>
      <c r="QBM79" s="44"/>
      <c r="QBN79" s="44"/>
      <c r="QBO79" s="44"/>
      <c r="QBP79" s="44"/>
      <c r="QBQ79" s="44"/>
      <c r="QBR79" s="44"/>
      <c r="QBS79" s="44"/>
      <c r="QBT79" s="44"/>
      <c r="QBU79" s="44"/>
      <c r="QBV79" s="44"/>
      <c r="QBW79" s="44"/>
      <c r="QBX79" s="44"/>
      <c r="QBY79" s="44"/>
      <c r="QBZ79" s="44"/>
      <c r="QCA79" s="44"/>
      <c r="QCB79" s="44"/>
      <c r="QCC79" s="44"/>
      <c r="QCD79" s="44"/>
      <c r="QCE79" s="44"/>
      <c r="QCF79" s="44"/>
      <c r="QCG79" s="44"/>
      <c r="QCH79" s="44"/>
      <c r="QCI79" s="44"/>
      <c r="QCJ79" s="44"/>
      <c r="QCK79" s="44"/>
      <c r="QCL79" s="44"/>
      <c r="QCM79" s="44"/>
      <c r="QCN79" s="44"/>
      <c r="QCO79" s="44"/>
      <c r="QCP79" s="44"/>
      <c r="QCQ79" s="44"/>
      <c r="QCR79" s="44"/>
      <c r="QCS79" s="44"/>
      <c r="QCT79" s="44"/>
      <c r="QCU79" s="44"/>
      <c r="QCV79" s="44"/>
      <c r="QCW79" s="44"/>
      <c r="QCX79" s="44"/>
      <c r="QCY79" s="44"/>
      <c r="QCZ79" s="44"/>
      <c r="QDA79" s="44"/>
      <c r="QDB79" s="44"/>
      <c r="QDC79" s="44"/>
      <c r="QDD79" s="44"/>
      <c r="QDE79" s="44"/>
      <c r="QDF79" s="44"/>
      <c r="QDG79" s="44"/>
      <c r="QDH79" s="44"/>
      <c r="QDI79" s="44"/>
      <c r="QDJ79" s="44"/>
      <c r="QDK79" s="44"/>
      <c r="QDL79" s="44"/>
      <c r="QDM79" s="44"/>
      <c r="QDN79" s="44"/>
      <c r="QDO79" s="44"/>
      <c r="QDP79" s="44"/>
      <c r="QDQ79" s="44"/>
      <c r="QDR79" s="44"/>
      <c r="QDS79" s="44"/>
      <c r="QDT79" s="44"/>
      <c r="QDU79" s="44"/>
      <c r="QDV79" s="44"/>
      <c r="QDW79" s="44"/>
      <c r="QDX79" s="44"/>
      <c r="QDY79" s="44"/>
      <c r="QDZ79" s="44"/>
      <c r="QEA79" s="44"/>
      <c r="QEB79" s="44"/>
      <c r="QEC79" s="44"/>
      <c r="QED79" s="44"/>
      <c r="QEE79" s="44"/>
      <c r="QEF79" s="44"/>
      <c r="QEG79" s="44"/>
      <c r="QEH79" s="44"/>
      <c r="QEI79" s="44"/>
      <c r="QEJ79" s="44"/>
      <c r="QEK79" s="44"/>
      <c r="QEL79" s="44"/>
      <c r="QEM79" s="44"/>
      <c r="QEN79" s="44"/>
      <c r="QEO79" s="44"/>
      <c r="QEP79" s="44"/>
      <c r="QEQ79" s="44"/>
      <c r="QER79" s="44"/>
      <c r="QES79" s="44"/>
      <c r="QET79" s="44"/>
      <c r="QEU79" s="44"/>
      <c r="QEV79" s="44"/>
      <c r="QEW79" s="44"/>
      <c r="QEX79" s="44"/>
      <c r="QEY79" s="44"/>
      <c r="QEZ79" s="44"/>
      <c r="QFA79" s="44"/>
      <c r="QFB79" s="44"/>
      <c r="QFC79" s="44"/>
      <c r="QFD79" s="44"/>
      <c r="QFE79" s="44"/>
      <c r="QFF79" s="44"/>
      <c r="QFG79" s="44"/>
      <c r="QFH79" s="44"/>
      <c r="QFI79" s="44"/>
      <c r="QFJ79" s="44"/>
      <c r="QFK79" s="44"/>
      <c r="QFL79" s="44"/>
      <c r="QFM79" s="44"/>
      <c r="QFN79" s="44"/>
      <c r="QFO79" s="44"/>
      <c r="QFP79" s="44"/>
      <c r="QFQ79" s="44"/>
      <c r="QFR79" s="44"/>
      <c r="QFS79" s="44"/>
      <c r="QFT79" s="44"/>
      <c r="QFU79" s="44"/>
      <c r="QFV79" s="44"/>
      <c r="QFW79" s="44"/>
      <c r="QFX79" s="44"/>
      <c r="QFY79" s="44"/>
      <c r="QFZ79" s="44"/>
      <c r="QGA79" s="44"/>
      <c r="QGB79" s="44"/>
      <c r="QGC79" s="44"/>
      <c r="QGD79" s="44"/>
      <c r="QGE79" s="44"/>
      <c r="QGF79" s="44"/>
      <c r="QGG79" s="44"/>
      <c r="QGH79" s="44"/>
      <c r="QGI79" s="44"/>
      <c r="QGJ79" s="44"/>
      <c r="QGK79" s="44"/>
      <c r="QGL79" s="44"/>
      <c r="QGM79" s="44"/>
      <c r="QGN79" s="44"/>
      <c r="QGO79" s="44"/>
      <c r="QGP79" s="44"/>
      <c r="QGQ79" s="44"/>
      <c r="QGR79" s="44"/>
      <c r="QGS79" s="44"/>
      <c r="QGT79" s="44"/>
      <c r="QGU79" s="44"/>
      <c r="QGV79" s="44"/>
      <c r="QGW79" s="44"/>
      <c r="QGX79" s="44"/>
      <c r="QGY79" s="44"/>
      <c r="QGZ79" s="44"/>
      <c r="QHA79" s="44"/>
      <c r="QHB79" s="44"/>
      <c r="QHC79" s="44"/>
      <c r="QHD79" s="44"/>
      <c r="QHE79" s="44"/>
      <c r="QHF79" s="44"/>
      <c r="QHG79" s="44"/>
      <c r="QHH79" s="44"/>
      <c r="QHI79" s="44"/>
      <c r="QHJ79" s="44"/>
      <c r="QHK79" s="44"/>
      <c r="QHL79" s="44"/>
      <c r="QHM79" s="44"/>
      <c r="QHN79" s="44"/>
      <c r="QHO79" s="44"/>
      <c r="QHP79" s="44"/>
      <c r="QHQ79" s="44"/>
      <c r="QHR79" s="44"/>
      <c r="QHS79" s="44"/>
      <c r="QHT79" s="44"/>
      <c r="QHU79" s="44"/>
      <c r="QHV79" s="44"/>
      <c r="QHW79" s="44"/>
      <c r="QHX79" s="44"/>
      <c r="QHY79" s="44"/>
      <c r="QHZ79" s="44"/>
      <c r="QIA79" s="44"/>
      <c r="QIB79" s="44"/>
      <c r="QIC79" s="44"/>
      <c r="QID79" s="44"/>
      <c r="QIE79" s="44"/>
      <c r="QIF79" s="44"/>
      <c r="QIG79" s="44"/>
      <c r="QIH79" s="44"/>
      <c r="QII79" s="44"/>
      <c r="QIJ79" s="44"/>
      <c r="QIK79" s="44"/>
      <c r="QIL79" s="44"/>
      <c r="QIM79" s="44"/>
      <c r="QIN79" s="44"/>
      <c r="QIO79" s="44"/>
      <c r="QIP79" s="44"/>
      <c r="QIQ79" s="44"/>
      <c r="QIR79" s="44"/>
      <c r="QIS79" s="44"/>
      <c r="QIT79" s="44"/>
      <c r="QIU79" s="44"/>
      <c r="QIV79" s="44"/>
      <c r="QIW79" s="44"/>
      <c r="QIX79" s="44"/>
      <c r="QIY79" s="44"/>
      <c r="QIZ79" s="44"/>
      <c r="QJA79" s="44"/>
      <c r="QJB79" s="44"/>
      <c r="QJC79" s="44"/>
      <c r="QJD79" s="44"/>
      <c r="QJE79" s="44"/>
      <c r="QJF79" s="44"/>
      <c r="QJG79" s="44"/>
      <c r="QJH79" s="44"/>
      <c r="QJI79" s="44"/>
      <c r="QJJ79" s="44"/>
      <c r="QJK79" s="44"/>
      <c r="QJL79" s="44"/>
      <c r="QJM79" s="44"/>
      <c r="QJN79" s="44"/>
      <c r="QJO79" s="44"/>
      <c r="QJP79" s="44"/>
      <c r="QJQ79" s="44"/>
      <c r="QJR79" s="44"/>
      <c r="QJS79" s="44"/>
      <c r="QJT79" s="44"/>
      <c r="QJU79" s="44"/>
      <c r="QJV79" s="44"/>
      <c r="QJW79" s="44"/>
      <c r="QJX79" s="44"/>
      <c r="QJY79" s="44"/>
      <c r="QJZ79" s="44"/>
      <c r="QKA79" s="44"/>
      <c r="QKB79" s="44"/>
      <c r="QKC79" s="44"/>
      <c r="QKD79" s="44"/>
      <c r="QKE79" s="44"/>
      <c r="QKF79" s="44"/>
      <c r="QKG79" s="44"/>
      <c r="QKH79" s="44"/>
      <c r="QKI79" s="44"/>
      <c r="QKJ79" s="44"/>
      <c r="QKK79" s="44"/>
      <c r="QKL79" s="44"/>
      <c r="QKM79" s="44"/>
      <c r="QKN79" s="44"/>
      <c r="QKO79" s="44"/>
      <c r="QKP79" s="44"/>
      <c r="QKQ79" s="44"/>
      <c r="QKR79" s="44"/>
      <c r="QKS79" s="44"/>
      <c r="QKT79" s="44"/>
      <c r="QKU79" s="44"/>
      <c r="QKV79" s="44"/>
      <c r="QKW79" s="44"/>
      <c r="QKX79" s="44"/>
      <c r="QKY79" s="44"/>
      <c r="QKZ79" s="44"/>
      <c r="QLA79" s="44"/>
      <c r="QLB79" s="44"/>
      <c r="QLC79" s="44"/>
      <c r="QLD79" s="44"/>
      <c r="QLE79" s="44"/>
      <c r="QLF79" s="44"/>
      <c r="QLG79" s="44"/>
      <c r="QLH79" s="44"/>
      <c r="QLI79" s="44"/>
      <c r="QLJ79" s="44"/>
      <c r="QLK79" s="44"/>
      <c r="QLL79" s="44"/>
      <c r="QLM79" s="44"/>
      <c r="QLN79" s="44"/>
      <c r="QLO79" s="44"/>
      <c r="QLP79" s="44"/>
      <c r="QLQ79" s="44"/>
      <c r="QLR79" s="44"/>
      <c r="QLS79" s="44"/>
      <c r="QLT79" s="44"/>
      <c r="QLU79" s="44"/>
      <c r="QLV79" s="44"/>
      <c r="QLW79" s="44"/>
      <c r="QLX79" s="44"/>
      <c r="QLY79" s="44"/>
      <c r="QLZ79" s="44"/>
      <c r="QMA79" s="44"/>
      <c r="QMB79" s="44"/>
      <c r="QMC79" s="44"/>
      <c r="QMD79" s="44"/>
      <c r="QME79" s="44"/>
      <c r="QMF79" s="44"/>
      <c r="QMG79" s="44"/>
      <c r="QMH79" s="44"/>
      <c r="QMI79" s="44"/>
      <c r="QMJ79" s="44"/>
      <c r="QMK79" s="44"/>
      <c r="QML79" s="44"/>
      <c r="QMM79" s="44"/>
      <c r="QMN79" s="44"/>
      <c r="QMO79" s="44"/>
      <c r="QMP79" s="44"/>
      <c r="QMQ79" s="44"/>
      <c r="QMR79" s="44"/>
      <c r="QMS79" s="44"/>
      <c r="QMT79" s="44"/>
      <c r="QMU79" s="44"/>
      <c r="QMV79" s="44"/>
      <c r="QMW79" s="44"/>
      <c r="QMX79" s="44"/>
      <c r="QMY79" s="44"/>
      <c r="QMZ79" s="44"/>
      <c r="QNA79" s="44"/>
      <c r="QNB79" s="44"/>
      <c r="QNC79" s="44"/>
      <c r="QND79" s="44"/>
      <c r="QNE79" s="44"/>
      <c r="QNF79" s="44"/>
      <c r="QNG79" s="44"/>
      <c r="QNH79" s="44"/>
      <c r="QNI79" s="44"/>
      <c r="QNJ79" s="44"/>
      <c r="QNK79" s="44"/>
      <c r="QNL79" s="44"/>
      <c r="QNM79" s="44"/>
      <c r="QNN79" s="44"/>
      <c r="QNO79" s="44"/>
      <c r="QNP79" s="44"/>
      <c r="QNQ79" s="44"/>
      <c r="QNR79" s="44"/>
      <c r="QNS79" s="44"/>
      <c r="QNT79" s="44"/>
      <c r="QNU79" s="44"/>
      <c r="QNV79" s="44"/>
      <c r="QNW79" s="44"/>
      <c r="QNX79" s="44"/>
      <c r="QNY79" s="44"/>
      <c r="QNZ79" s="44"/>
      <c r="QOA79" s="44"/>
      <c r="QOB79" s="44"/>
      <c r="QOC79" s="44"/>
      <c r="QOD79" s="44"/>
      <c r="QOE79" s="44"/>
      <c r="QOF79" s="44"/>
      <c r="QOG79" s="44"/>
      <c r="QOH79" s="44"/>
      <c r="QOI79" s="44"/>
      <c r="QOJ79" s="44"/>
      <c r="QOK79" s="44"/>
      <c r="QOL79" s="44"/>
      <c r="QOM79" s="44"/>
      <c r="QON79" s="44"/>
      <c r="QOO79" s="44"/>
      <c r="QOP79" s="44"/>
      <c r="QOQ79" s="44"/>
      <c r="QOR79" s="44"/>
      <c r="QOS79" s="44"/>
      <c r="QOT79" s="44"/>
      <c r="QOU79" s="44"/>
      <c r="QOV79" s="44"/>
      <c r="QOW79" s="44"/>
      <c r="QOX79" s="44"/>
      <c r="QOY79" s="44"/>
      <c r="QOZ79" s="44"/>
      <c r="QPA79" s="44"/>
      <c r="QPB79" s="44"/>
      <c r="QPC79" s="44"/>
      <c r="QPD79" s="44"/>
      <c r="QPE79" s="44"/>
      <c r="QPF79" s="44"/>
      <c r="QPG79" s="44"/>
      <c r="QPH79" s="44"/>
      <c r="QPI79" s="44"/>
      <c r="QPJ79" s="44"/>
      <c r="QPK79" s="44"/>
      <c r="QPL79" s="44"/>
      <c r="QPM79" s="44"/>
      <c r="QPN79" s="44"/>
      <c r="QPO79" s="44"/>
      <c r="QPP79" s="44"/>
      <c r="QPQ79" s="44"/>
      <c r="QPR79" s="44"/>
      <c r="QPS79" s="44"/>
      <c r="QPT79" s="44"/>
      <c r="QPU79" s="44"/>
      <c r="QPV79" s="44"/>
      <c r="QPW79" s="44"/>
      <c r="QPX79" s="44"/>
      <c r="QPY79" s="44"/>
      <c r="QPZ79" s="44"/>
      <c r="QQA79" s="44"/>
      <c r="QQB79" s="44"/>
      <c r="QQC79" s="44"/>
      <c r="QQD79" s="44"/>
      <c r="QQE79" s="44"/>
      <c r="QQF79" s="44"/>
      <c r="QQG79" s="44"/>
      <c r="QQH79" s="44"/>
      <c r="QQI79" s="44"/>
      <c r="QQJ79" s="44"/>
      <c r="QQK79" s="44"/>
      <c r="QQL79" s="44"/>
      <c r="QQM79" s="44"/>
      <c r="QQN79" s="44"/>
      <c r="QQO79" s="44"/>
      <c r="QQP79" s="44"/>
      <c r="QQQ79" s="44"/>
      <c r="QQR79" s="44"/>
      <c r="QQS79" s="44"/>
      <c r="QQT79" s="44"/>
      <c r="QQU79" s="44"/>
      <c r="QQV79" s="44"/>
      <c r="QQW79" s="44"/>
      <c r="QQX79" s="44"/>
      <c r="QQY79" s="44"/>
      <c r="QQZ79" s="44"/>
      <c r="QRA79" s="44"/>
      <c r="QRB79" s="44"/>
      <c r="QRC79" s="44"/>
      <c r="QRD79" s="44"/>
      <c r="QRE79" s="44"/>
      <c r="QRF79" s="44"/>
      <c r="QRG79" s="44"/>
      <c r="QRH79" s="44"/>
      <c r="QRI79" s="44"/>
      <c r="QRJ79" s="44"/>
      <c r="QRK79" s="44"/>
      <c r="QRL79" s="44"/>
      <c r="QRM79" s="44"/>
      <c r="QRN79" s="44"/>
      <c r="QRO79" s="44"/>
      <c r="QRP79" s="44"/>
      <c r="QRQ79" s="44"/>
      <c r="QRR79" s="44"/>
      <c r="QRS79" s="44"/>
      <c r="QRT79" s="44"/>
      <c r="QRU79" s="44"/>
      <c r="QRV79" s="44"/>
      <c r="QRW79" s="44"/>
      <c r="QRX79" s="44"/>
      <c r="QRY79" s="44"/>
      <c r="QRZ79" s="44"/>
      <c r="QSA79" s="44"/>
      <c r="QSB79" s="44"/>
      <c r="QSC79" s="44"/>
      <c r="QSD79" s="44"/>
      <c r="QSE79" s="44"/>
      <c r="QSF79" s="44"/>
      <c r="QSG79" s="44"/>
      <c r="QSH79" s="44"/>
      <c r="QSI79" s="44"/>
      <c r="QSJ79" s="44"/>
      <c r="QSK79" s="44"/>
      <c r="QSL79" s="44"/>
      <c r="QSM79" s="44"/>
      <c r="QSN79" s="44"/>
      <c r="QSO79" s="44"/>
      <c r="QSP79" s="44"/>
      <c r="QSQ79" s="44"/>
      <c r="QSR79" s="44"/>
      <c r="QSS79" s="44"/>
      <c r="QST79" s="44"/>
      <c r="QSU79" s="44"/>
      <c r="QSV79" s="44"/>
      <c r="QSW79" s="44"/>
      <c r="QSX79" s="44"/>
      <c r="QSY79" s="44"/>
      <c r="QSZ79" s="44"/>
      <c r="QTA79" s="44"/>
      <c r="QTB79" s="44"/>
      <c r="QTC79" s="44"/>
      <c r="QTD79" s="44"/>
      <c r="QTE79" s="44"/>
      <c r="QTF79" s="44"/>
      <c r="QTG79" s="44"/>
      <c r="QTH79" s="44"/>
      <c r="QTI79" s="44"/>
      <c r="QTJ79" s="44"/>
      <c r="QTK79" s="44"/>
      <c r="QTL79" s="44"/>
      <c r="QTM79" s="44"/>
      <c r="QTN79" s="44"/>
      <c r="QTO79" s="44"/>
      <c r="QTP79" s="44"/>
      <c r="QTQ79" s="44"/>
      <c r="QTR79" s="44"/>
      <c r="QTS79" s="44"/>
      <c r="QTT79" s="44"/>
      <c r="QTU79" s="44"/>
      <c r="QTV79" s="44"/>
      <c r="QTW79" s="44"/>
      <c r="QTX79" s="44"/>
      <c r="QTY79" s="44"/>
      <c r="QTZ79" s="44"/>
      <c r="QUA79" s="44"/>
      <c r="QUB79" s="44"/>
      <c r="QUC79" s="44"/>
      <c r="QUD79" s="44"/>
      <c r="QUE79" s="44"/>
      <c r="QUF79" s="44"/>
      <c r="QUG79" s="44"/>
      <c r="QUH79" s="44"/>
      <c r="QUI79" s="44"/>
      <c r="QUJ79" s="44"/>
      <c r="QUK79" s="44"/>
      <c r="QUL79" s="44"/>
      <c r="QUM79" s="44"/>
      <c r="QUN79" s="44"/>
      <c r="QUO79" s="44"/>
      <c r="QUP79" s="44"/>
      <c r="QUQ79" s="44"/>
      <c r="QUR79" s="44"/>
      <c r="QUS79" s="44"/>
      <c r="QUT79" s="44"/>
      <c r="QUU79" s="44"/>
      <c r="QUV79" s="44"/>
      <c r="QUW79" s="44"/>
      <c r="QUX79" s="44"/>
      <c r="QUY79" s="44"/>
      <c r="QUZ79" s="44"/>
      <c r="QVA79" s="44"/>
      <c r="QVB79" s="44"/>
      <c r="QVC79" s="44"/>
      <c r="QVD79" s="44"/>
      <c r="QVE79" s="44"/>
      <c r="QVF79" s="44"/>
      <c r="QVG79" s="44"/>
      <c r="QVH79" s="44"/>
      <c r="QVI79" s="44"/>
      <c r="QVJ79" s="44"/>
      <c r="QVK79" s="44"/>
      <c r="QVL79" s="44"/>
      <c r="QVM79" s="44"/>
      <c r="QVN79" s="44"/>
      <c r="QVO79" s="44"/>
      <c r="QVP79" s="44"/>
      <c r="QVQ79" s="44"/>
      <c r="QVR79" s="44"/>
      <c r="QVS79" s="44"/>
      <c r="QVT79" s="44"/>
      <c r="QVU79" s="44"/>
      <c r="QVV79" s="44"/>
      <c r="QVW79" s="44"/>
      <c r="QVX79" s="44"/>
      <c r="QVY79" s="44"/>
      <c r="QVZ79" s="44"/>
      <c r="QWA79" s="44"/>
      <c r="QWB79" s="44"/>
      <c r="QWC79" s="44"/>
      <c r="QWD79" s="44"/>
      <c r="QWE79" s="44"/>
      <c r="QWF79" s="44"/>
      <c r="QWG79" s="44"/>
      <c r="QWH79" s="44"/>
      <c r="QWI79" s="44"/>
      <c r="QWJ79" s="44"/>
      <c r="QWK79" s="44"/>
      <c r="QWL79" s="44"/>
      <c r="QWM79" s="44"/>
      <c r="QWN79" s="44"/>
      <c r="QWO79" s="44"/>
      <c r="QWP79" s="44"/>
      <c r="QWQ79" s="44"/>
      <c r="QWR79" s="44"/>
      <c r="QWS79" s="44"/>
      <c r="QWT79" s="44"/>
      <c r="QWU79" s="44"/>
      <c r="QWV79" s="44"/>
      <c r="QWW79" s="44"/>
      <c r="QWX79" s="44"/>
      <c r="QWY79" s="44"/>
      <c r="QWZ79" s="44"/>
      <c r="QXA79" s="44"/>
      <c r="QXB79" s="44"/>
      <c r="QXC79" s="44"/>
      <c r="QXD79" s="44"/>
      <c r="QXE79" s="44"/>
      <c r="QXF79" s="44"/>
      <c r="QXG79" s="44"/>
      <c r="QXH79" s="44"/>
      <c r="QXI79" s="44"/>
      <c r="QXJ79" s="44"/>
      <c r="QXK79" s="44"/>
      <c r="QXL79" s="44"/>
      <c r="QXM79" s="44"/>
      <c r="QXN79" s="44"/>
      <c r="QXO79" s="44"/>
      <c r="QXP79" s="44"/>
      <c r="QXQ79" s="44"/>
      <c r="QXR79" s="44"/>
      <c r="QXS79" s="44"/>
      <c r="QXT79" s="44"/>
      <c r="QXU79" s="44"/>
      <c r="QXV79" s="44"/>
      <c r="QXW79" s="44"/>
      <c r="QXX79" s="44"/>
      <c r="QXY79" s="44"/>
      <c r="QXZ79" s="44"/>
      <c r="QYA79" s="44"/>
      <c r="QYB79" s="44"/>
      <c r="QYC79" s="44"/>
      <c r="QYD79" s="44"/>
      <c r="QYE79" s="44"/>
      <c r="QYF79" s="44"/>
      <c r="QYG79" s="44"/>
      <c r="QYH79" s="44"/>
      <c r="QYI79" s="44"/>
      <c r="QYJ79" s="44"/>
      <c r="QYK79" s="44"/>
      <c r="QYL79" s="44"/>
      <c r="QYM79" s="44"/>
      <c r="QYN79" s="44"/>
      <c r="QYO79" s="44"/>
      <c r="QYP79" s="44"/>
      <c r="QYQ79" s="44"/>
      <c r="QYR79" s="44"/>
      <c r="QYS79" s="44"/>
      <c r="QYT79" s="44"/>
      <c r="QYU79" s="44"/>
      <c r="QYV79" s="44"/>
      <c r="QYW79" s="44"/>
      <c r="QYX79" s="44"/>
      <c r="QYY79" s="44"/>
      <c r="QYZ79" s="44"/>
      <c r="QZA79" s="44"/>
      <c r="QZB79" s="44"/>
      <c r="QZC79" s="44"/>
      <c r="QZD79" s="44"/>
      <c r="QZE79" s="44"/>
      <c r="QZF79" s="44"/>
      <c r="QZG79" s="44"/>
      <c r="QZH79" s="44"/>
      <c r="QZI79" s="44"/>
      <c r="QZJ79" s="44"/>
      <c r="QZK79" s="44"/>
      <c r="QZL79" s="44"/>
      <c r="QZM79" s="44"/>
      <c r="QZN79" s="44"/>
      <c r="QZO79" s="44"/>
      <c r="QZP79" s="44"/>
      <c r="QZQ79" s="44"/>
      <c r="QZR79" s="44"/>
      <c r="QZS79" s="44"/>
      <c r="QZT79" s="44"/>
      <c r="QZU79" s="44"/>
      <c r="QZV79" s="44"/>
      <c r="QZW79" s="44"/>
      <c r="QZX79" s="44"/>
      <c r="QZY79" s="44"/>
      <c r="QZZ79" s="44"/>
      <c r="RAA79" s="44"/>
      <c r="RAB79" s="44"/>
      <c r="RAC79" s="44"/>
      <c r="RAD79" s="44"/>
      <c r="RAE79" s="44"/>
      <c r="RAF79" s="44"/>
      <c r="RAG79" s="44"/>
      <c r="RAH79" s="44"/>
      <c r="RAI79" s="44"/>
      <c r="RAJ79" s="44"/>
      <c r="RAK79" s="44"/>
      <c r="RAL79" s="44"/>
      <c r="RAM79" s="44"/>
      <c r="RAN79" s="44"/>
      <c r="RAO79" s="44"/>
      <c r="RAP79" s="44"/>
      <c r="RAQ79" s="44"/>
      <c r="RAR79" s="44"/>
      <c r="RAS79" s="44"/>
      <c r="RAT79" s="44"/>
      <c r="RAU79" s="44"/>
      <c r="RAV79" s="44"/>
      <c r="RAW79" s="44"/>
      <c r="RAX79" s="44"/>
      <c r="RAY79" s="44"/>
      <c r="RAZ79" s="44"/>
      <c r="RBA79" s="44"/>
      <c r="RBB79" s="44"/>
      <c r="RBC79" s="44"/>
      <c r="RBD79" s="44"/>
      <c r="RBE79" s="44"/>
      <c r="RBF79" s="44"/>
      <c r="RBG79" s="44"/>
      <c r="RBH79" s="44"/>
      <c r="RBI79" s="44"/>
      <c r="RBJ79" s="44"/>
      <c r="RBK79" s="44"/>
      <c r="RBL79" s="44"/>
      <c r="RBM79" s="44"/>
      <c r="RBN79" s="44"/>
      <c r="RBO79" s="44"/>
      <c r="RBP79" s="44"/>
      <c r="RBQ79" s="44"/>
      <c r="RBR79" s="44"/>
      <c r="RBS79" s="44"/>
      <c r="RBT79" s="44"/>
      <c r="RBU79" s="44"/>
      <c r="RBV79" s="44"/>
      <c r="RBW79" s="44"/>
      <c r="RBX79" s="44"/>
      <c r="RBY79" s="44"/>
      <c r="RBZ79" s="44"/>
      <c r="RCA79" s="44"/>
      <c r="RCB79" s="44"/>
      <c r="RCC79" s="44"/>
      <c r="RCD79" s="44"/>
      <c r="RCE79" s="44"/>
      <c r="RCF79" s="44"/>
      <c r="RCG79" s="44"/>
      <c r="RCH79" s="44"/>
      <c r="RCI79" s="44"/>
      <c r="RCJ79" s="44"/>
      <c r="RCK79" s="44"/>
      <c r="RCL79" s="44"/>
      <c r="RCM79" s="44"/>
      <c r="RCN79" s="44"/>
      <c r="RCO79" s="44"/>
      <c r="RCP79" s="44"/>
      <c r="RCQ79" s="44"/>
      <c r="RCR79" s="44"/>
      <c r="RCS79" s="44"/>
      <c r="RCT79" s="44"/>
      <c r="RCU79" s="44"/>
      <c r="RCV79" s="44"/>
      <c r="RCW79" s="44"/>
      <c r="RCX79" s="44"/>
      <c r="RCY79" s="44"/>
      <c r="RCZ79" s="44"/>
      <c r="RDA79" s="44"/>
      <c r="RDB79" s="44"/>
      <c r="RDC79" s="44"/>
      <c r="RDD79" s="44"/>
      <c r="RDE79" s="44"/>
      <c r="RDF79" s="44"/>
      <c r="RDG79" s="44"/>
      <c r="RDH79" s="44"/>
      <c r="RDI79" s="44"/>
      <c r="RDJ79" s="44"/>
      <c r="RDK79" s="44"/>
      <c r="RDL79" s="44"/>
      <c r="RDM79" s="44"/>
      <c r="RDN79" s="44"/>
      <c r="RDO79" s="44"/>
      <c r="RDP79" s="44"/>
      <c r="RDQ79" s="44"/>
      <c r="RDR79" s="44"/>
      <c r="RDS79" s="44"/>
      <c r="RDT79" s="44"/>
      <c r="RDU79" s="44"/>
      <c r="RDV79" s="44"/>
      <c r="RDW79" s="44"/>
      <c r="RDX79" s="44"/>
      <c r="RDY79" s="44"/>
      <c r="RDZ79" s="44"/>
      <c r="REA79" s="44"/>
      <c r="REB79" s="44"/>
      <c r="REC79" s="44"/>
      <c r="RED79" s="44"/>
      <c r="REE79" s="44"/>
      <c r="REF79" s="44"/>
      <c r="REG79" s="44"/>
      <c r="REH79" s="44"/>
      <c r="REI79" s="44"/>
      <c r="REJ79" s="44"/>
      <c r="REK79" s="44"/>
      <c r="REL79" s="44"/>
      <c r="REM79" s="44"/>
      <c r="REN79" s="44"/>
      <c r="REO79" s="44"/>
      <c r="REP79" s="44"/>
      <c r="REQ79" s="44"/>
      <c r="RER79" s="44"/>
      <c r="RES79" s="44"/>
      <c r="RET79" s="44"/>
      <c r="REU79" s="44"/>
      <c r="REV79" s="44"/>
      <c r="REW79" s="44"/>
      <c r="REX79" s="44"/>
      <c r="REY79" s="44"/>
      <c r="REZ79" s="44"/>
      <c r="RFA79" s="44"/>
      <c r="RFB79" s="44"/>
      <c r="RFC79" s="44"/>
      <c r="RFD79" s="44"/>
      <c r="RFE79" s="44"/>
      <c r="RFF79" s="44"/>
      <c r="RFG79" s="44"/>
      <c r="RFH79" s="44"/>
      <c r="RFI79" s="44"/>
      <c r="RFJ79" s="44"/>
      <c r="RFK79" s="44"/>
      <c r="RFL79" s="44"/>
      <c r="RFM79" s="44"/>
      <c r="RFN79" s="44"/>
      <c r="RFO79" s="44"/>
      <c r="RFP79" s="44"/>
      <c r="RFQ79" s="44"/>
      <c r="RFR79" s="44"/>
      <c r="RFS79" s="44"/>
      <c r="RFT79" s="44"/>
      <c r="RFU79" s="44"/>
      <c r="RFV79" s="44"/>
      <c r="RFW79" s="44"/>
      <c r="RFX79" s="44"/>
      <c r="RFY79" s="44"/>
      <c r="RFZ79" s="44"/>
      <c r="RGA79" s="44"/>
      <c r="RGB79" s="44"/>
      <c r="RGC79" s="44"/>
      <c r="RGD79" s="44"/>
      <c r="RGE79" s="44"/>
      <c r="RGF79" s="44"/>
      <c r="RGG79" s="44"/>
      <c r="RGH79" s="44"/>
      <c r="RGI79" s="44"/>
      <c r="RGJ79" s="44"/>
      <c r="RGK79" s="44"/>
      <c r="RGL79" s="44"/>
      <c r="RGM79" s="44"/>
      <c r="RGN79" s="44"/>
      <c r="RGO79" s="44"/>
      <c r="RGP79" s="44"/>
      <c r="RGQ79" s="44"/>
      <c r="RGR79" s="44"/>
      <c r="RGS79" s="44"/>
      <c r="RGT79" s="44"/>
      <c r="RGU79" s="44"/>
      <c r="RGV79" s="44"/>
      <c r="RGW79" s="44"/>
      <c r="RGX79" s="44"/>
      <c r="RGY79" s="44"/>
      <c r="RGZ79" s="44"/>
      <c r="RHA79" s="44"/>
      <c r="RHB79" s="44"/>
      <c r="RHC79" s="44"/>
      <c r="RHD79" s="44"/>
      <c r="RHE79" s="44"/>
      <c r="RHF79" s="44"/>
      <c r="RHG79" s="44"/>
      <c r="RHH79" s="44"/>
      <c r="RHI79" s="44"/>
      <c r="RHJ79" s="44"/>
      <c r="RHK79" s="44"/>
      <c r="RHL79" s="44"/>
      <c r="RHM79" s="44"/>
      <c r="RHN79" s="44"/>
      <c r="RHO79" s="44"/>
      <c r="RHP79" s="44"/>
      <c r="RHQ79" s="44"/>
      <c r="RHR79" s="44"/>
      <c r="RHS79" s="44"/>
      <c r="RHT79" s="44"/>
      <c r="RHU79" s="44"/>
      <c r="RHV79" s="44"/>
      <c r="RHW79" s="44"/>
      <c r="RHX79" s="44"/>
      <c r="RHY79" s="44"/>
      <c r="RHZ79" s="44"/>
      <c r="RIA79" s="44"/>
      <c r="RIB79" s="44"/>
      <c r="RIC79" s="44"/>
      <c r="RID79" s="44"/>
      <c r="RIE79" s="44"/>
      <c r="RIF79" s="44"/>
      <c r="RIG79" s="44"/>
      <c r="RIH79" s="44"/>
      <c r="RII79" s="44"/>
      <c r="RIJ79" s="44"/>
      <c r="RIK79" s="44"/>
      <c r="RIL79" s="44"/>
      <c r="RIM79" s="44"/>
      <c r="RIN79" s="44"/>
      <c r="RIO79" s="44"/>
      <c r="RIP79" s="44"/>
      <c r="RIQ79" s="44"/>
      <c r="RIR79" s="44"/>
      <c r="RIS79" s="44"/>
      <c r="RIT79" s="44"/>
      <c r="RIU79" s="44"/>
      <c r="RIV79" s="44"/>
      <c r="RIW79" s="44"/>
      <c r="RIX79" s="44"/>
      <c r="RIY79" s="44"/>
      <c r="RIZ79" s="44"/>
      <c r="RJA79" s="44"/>
      <c r="RJB79" s="44"/>
      <c r="RJC79" s="44"/>
      <c r="RJD79" s="44"/>
      <c r="RJE79" s="44"/>
      <c r="RJF79" s="44"/>
      <c r="RJG79" s="44"/>
      <c r="RJH79" s="44"/>
      <c r="RJI79" s="44"/>
      <c r="RJJ79" s="44"/>
      <c r="RJK79" s="44"/>
      <c r="RJL79" s="44"/>
      <c r="RJM79" s="44"/>
      <c r="RJN79" s="44"/>
      <c r="RJO79" s="44"/>
      <c r="RJP79" s="44"/>
      <c r="RJQ79" s="44"/>
      <c r="RJR79" s="44"/>
      <c r="RJS79" s="44"/>
      <c r="RJT79" s="44"/>
      <c r="RJU79" s="44"/>
      <c r="RJV79" s="44"/>
      <c r="RJW79" s="44"/>
      <c r="RJX79" s="44"/>
      <c r="RJY79" s="44"/>
      <c r="RJZ79" s="44"/>
      <c r="RKA79" s="44"/>
      <c r="RKB79" s="44"/>
      <c r="RKC79" s="44"/>
      <c r="RKD79" s="44"/>
      <c r="RKE79" s="44"/>
      <c r="RKF79" s="44"/>
      <c r="RKG79" s="44"/>
      <c r="RKH79" s="44"/>
      <c r="RKI79" s="44"/>
      <c r="RKJ79" s="44"/>
      <c r="RKK79" s="44"/>
      <c r="RKL79" s="44"/>
      <c r="RKM79" s="44"/>
      <c r="RKN79" s="44"/>
      <c r="RKO79" s="44"/>
      <c r="RKP79" s="44"/>
      <c r="RKQ79" s="44"/>
      <c r="RKR79" s="44"/>
      <c r="RKS79" s="44"/>
      <c r="RKT79" s="44"/>
      <c r="RKU79" s="44"/>
      <c r="RKV79" s="44"/>
      <c r="RKW79" s="44"/>
      <c r="RKX79" s="44"/>
      <c r="RKY79" s="44"/>
      <c r="RKZ79" s="44"/>
      <c r="RLA79" s="44"/>
      <c r="RLB79" s="44"/>
      <c r="RLC79" s="44"/>
      <c r="RLD79" s="44"/>
      <c r="RLE79" s="44"/>
      <c r="RLF79" s="44"/>
      <c r="RLG79" s="44"/>
      <c r="RLH79" s="44"/>
      <c r="RLI79" s="44"/>
      <c r="RLJ79" s="44"/>
      <c r="RLK79" s="44"/>
      <c r="RLL79" s="44"/>
      <c r="RLM79" s="44"/>
      <c r="RLN79" s="44"/>
      <c r="RLO79" s="44"/>
      <c r="RLP79" s="44"/>
      <c r="RLQ79" s="44"/>
      <c r="RLR79" s="44"/>
      <c r="RLS79" s="44"/>
      <c r="RLT79" s="44"/>
      <c r="RLU79" s="44"/>
      <c r="RLV79" s="44"/>
      <c r="RLW79" s="44"/>
      <c r="RLX79" s="44"/>
      <c r="RLY79" s="44"/>
      <c r="RLZ79" s="44"/>
      <c r="RMA79" s="44"/>
      <c r="RMB79" s="44"/>
      <c r="RMC79" s="44"/>
      <c r="RMD79" s="44"/>
      <c r="RME79" s="44"/>
      <c r="RMF79" s="44"/>
      <c r="RMG79" s="44"/>
      <c r="RMH79" s="44"/>
      <c r="RMI79" s="44"/>
      <c r="RMJ79" s="44"/>
      <c r="RMK79" s="44"/>
      <c r="RML79" s="44"/>
      <c r="RMM79" s="44"/>
      <c r="RMN79" s="44"/>
      <c r="RMO79" s="44"/>
      <c r="RMP79" s="44"/>
      <c r="RMQ79" s="44"/>
      <c r="RMR79" s="44"/>
      <c r="RMS79" s="44"/>
      <c r="RMT79" s="44"/>
      <c r="RMU79" s="44"/>
      <c r="RMV79" s="44"/>
      <c r="RMW79" s="44"/>
      <c r="RMX79" s="44"/>
      <c r="RMY79" s="44"/>
      <c r="RMZ79" s="44"/>
      <c r="RNA79" s="44"/>
      <c r="RNB79" s="44"/>
      <c r="RNC79" s="44"/>
      <c r="RND79" s="44"/>
      <c r="RNE79" s="44"/>
      <c r="RNF79" s="44"/>
      <c r="RNG79" s="44"/>
      <c r="RNH79" s="44"/>
      <c r="RNI79" s="44"/>
      <c r="RNJ79" s="44"/>
      <c r="RNK79" s="44"/>
      <c r="RNL79" s="44"/>
      <c r="RNM79" s="44"/>
      <c r="RNN79" s="44"/>
      <c r="RNO79" s="44"/>
      <c r="RNP79" s="44"/>
      <c r="RNQ79" s="44"/>
      <c r="RNR79" s="44"/>
      <c r="RNS79" s="44"/>
      <c r="RNT79" s="44"/>
      <c r="RNU79" s="44"/>
      <c r="RNV79" s="44"/>
      <c r="RNW79" s="44"/>
      <c r="RNX79" s="44"/>
      <c r="RNY79" s="44"/>
      <c r="RNZ79" s="44"/>
      <c r="ROA79" s="44"/>
      <c r="ROB79" s="44"/>
      <c r="ROC79" s="44"/>
      <c r="ROD79" s="44"/>
      <c r="ROE79" s="44"/>
      <c r="ROF79" s="44"/>
      <c r="ROG79" s="44"/>
      <c r="ROH79" s="44"/>
      <c r="ROI79" s="44"/>
      <c r="ROJ79" s="44"/>
      <c r="ROK79" s="44"/>
      <c r="ROL79" s="44"/>
      <c r="ROM79" s="44"/>
      <c r="RON79" s="44"/>
      <c r="ROO79" s="44"/>
      <c r="ROP79" s="44"/>
      <c r="ROQ79" s="44"/>
      <c r="ROR79" s="44"/>
      <c r="ROS79" s="44"/>
      <c r="ROT79" s="44"/>
      <c r="ROU79" s="44"/>
      <c r="ROV79" s="44"/>
      <c r="ROW79" s="44"/>
      <c r="ROX79" s="44"/>
      <c r="ROY79" s="44"/>
      <c r="ROZ79" s="44"/>
      <c r="RPA79" s="44"/>
      <c r="RPB79" s="44"/>
      <c r="RPC79" s="44"/>
      <c r="RPD79" s="44"/>
      <c r="RPE79" s="44"/>
      <c r="RPF79" s="44"/>
      <c r="RPG79" s="44"/>
      <c r="RPH79" s="44"/>
      <c r="RPI79" s="44"/>
      <c r="RPJ79" s="44"/>
      <c r="RPK79" s="44"/>
      <c r="RPL79" s="44"/>
      <c r="RPM79" s="44"/>
      <c r="RPN79" s="44"/>
      <c r="RPO79" s="44"/>
      <c r="RPP79" s="44"/>
      <c r="RPQ79" s="44"/>
      <c r="RPR79" s="44"/>
      <c r="RPS79" s="44"/>
      <c r="RPT79" s="44"/>
      <c r="RPU79" s="44"/>
      <c r="RPV79" s="44"/>
      <c r="RPW79" s="44"/>
      <c r="RPX79" s="44"/>
      <c r="RPY79" s="44"/>
      <c r="RPZ79" s="44"/>
      <c r="RQA79" s="44"/>
      <c r="RQB79" s="44"/>
      <c r="RQC79" s="44"/>
      <c r="RQD79" s="44"/>
      <c r="RQE79" s="44"/>
      <c r="RQF79" s="44"/>
      <c r="RQG79" s="44"/>
      <c r="RQH79" s="44"/>
      <c r="RQI79" s="44"/>
      <c r="RQJ79" s="44"/>
      <c r="RQK79" s="44"/>
      <c r="RQL79" s="44"/>
      <c r="RQM79" s="44"/>
      <c r="RQN79" s="44"/>
      <c r="RQO79" s="44"/>
      <c r="RQP79" s="44"/>
      <c r="RQQ79" s="44"/>
      <c r="RQR79" s="44"/>
      <c r="RQS79" s="44"/>
      <c r="RQT79" s="44"/>
      <c r="RQU79" s="44"/>
      <c r="RQV79" s="44"/>
      <c r="RQW79" s="44"/>
      <c r="RQX79" s="44"/>
      <c r="RQY79" s="44"/>
      <c r="RQZ79" s="44"/>
      <c r="RRA79" s="44"/>
      <c r="RRB79" s="44"/>
      <c r="RRC79" s="44"/>
      <c r="RRD79" s="44"/>
      <c r="RRE79" s="44"/>
      <c r="RRF79" s="44"/>
      <c r="RRG79" s="44"/>
      <c r="RRH79" s="44"/>
      <c r="RRI79" s="44"/>
      <c r="RRJ79" s="44"/>
      <c r="RRK79" s="44"/>
      <c r="RRL79" s="44"/>
      <c r="RRM79" s="44"/>
      <c r="RRN79" s="44"/>
      <c r="RRO79" s="44"/>
      <c r="RRP79" s="44"/>
      <c r="RRQ79" s="44"/>
      <c r="RRR79" s="44"/>
      <c r="RRS79" s="44"/>
      <c r="RRT79" s="44"/>
      <c r="RRU79" s="44"/>
      <c r="RRV79" s="44"/>
      <c r="RRW79" s="44"/>
      <c r="RRX79" s="44"/>
      <c r="RRY79" s="44"/>
      <c r="RRZ79" s="44"/>
      <c r="RSA79" s="44"/>
      <c r="RSB79" s="44"/>
      <c r="RSC79" s="44"/>
      <c r="RSD79" s="44"/>
      <c r="RSE79" s="44"/>
      <c r="RSF79" s="44"/>
      <c r="RSG79" s="44"/>
      <c r="RSH79" s="44"/>
      <c r="RSI79" s="44"/>
      <c r="RSJ79" s="44"/>
      <c r="RSK79" s="44"/>
      <c r="RSL79" s="44"/>
      <c r="RSM79" s="44"/>
      <c r="RSN79" s="44"/>
      <c r="RSO79" s="44"/>
      <c r="RSP79" s="44"/>
      <c r="RSQ79" s="44"/>
      <c r="RSR79" s="44"/>
      <c r="RSS79" s="44"/>
      <c r="RST79" s="44"/>
      <c r="RSU79" s="44"/>
      <c r="RSV79" s="44"/>
      <c r="RSW79" s="44"/>
      <c r="RSX79" s="44"/>
      <c r="RSY79" s="44"/>
      <c r="RSZ79" s="44"/>
      <c r="RTA79" s="44"/>
      <c r="RTB79" s="44"/>
      <c r="RTC79" s="44"/>
      <c r="RTD79" s="44"/>
      <c r="RTE79" s="44"/>
      <c r="RTF79" s="44"/>
      <c r="RTG79" s="44"/>
      <c r="RTH79" s="44"/>
      <c r="RTI79" s="44"/>
      <c r="RTJ79" s="44"/>
      <c r="RTK79" s="44"/>
      <c r="RTL79" s="44"/>
      <c r="RTM79" s="44"/>
      <c r="RTN79" s="44"/>
      <c r="RTO79" s="44"/>
      <c r="RTP79" s="44"/>
      <c r="RTQ79" s="44"/>
      <c r="RTR79" s="44"/>
      <c r="RTS79" s="44"/>
      <c r="RTT79" s="44"/>
      <c r="RTU79" s="44"/>
      <c r="RTV79" s="44"/>
      <c r="RTW79" s="44"/>
      <c r="RTX79" s="44"/>
      <c r="RTY79" s="44"/>
      <c r="RTZ79" s="44"/>
      <c r="RUA79" s="44"/>
      <c r="RUB79" s="44"/>
      <c r="RUC79" s="44"/>
      <c r="RUD79" s="44"/>
      <c r="RUE79" s="44"/>
      <c r="RUF79" s="44"/>
      <c r="RUG79" s="44"/>
      <c r="RUH79" s="44"/>
      <c r="RUI79" s="44"/>
      <c r="RUJ79" s="44"/>
      <c r="RUK79" s="44"/>
      <c r="RUL79" s="44"/>
      <c r="RUM79" s="44"/>
      <c r="RUN79" s="44"/>
      <c r="RUO79" s="44"/>
      <c r="RUP79" s="44"/>
      <c r="RUQ79" s="44"/>
      <c r="RUR79" s="44"/>
      <c r="RUS79" s="44"/>
      <c r="RUT79" s="44"/>
      <c r="RUU79" s="44"/>
      <c r="RUV79" s="44"/>
      <c r="RUW79" s="44"/>
      <c r="RUX79" s="44"/>
      <c r="RUY79" s="44"/>
      <c r="RUZ79" s="44"/>
      <c r="RVA79" s="44"/>
      <c r="RVB79" s="44"/>
      <c r="RVC79" s="44"/>
      <c r="RVD79" s="44"/>
      <c r="RVE79" s="44"/>
      <c r="RVF79" s="44"/>
      <c r="RVG79" s="44"/>
      <c r="RVH79" s="44"/>
      <c r="RVI79" s="44"/>
      <c r="RVJ79" s="44"/>
      <c r="RVK79" s="44"/>
      <c r="RVL79" s="44"/>
      <c r="RVM79" s="44"/>
      <c r="RVN79" s="44"/>
      <c r="RVO79" s="44"/>
      <c r="RVP79" s="44"/>
      <c r="RVQ79" s="44"/>
      <c r="RVR79" s="44"/>
      <c r="RVS79" s="44"/>
      <c r="RVT79" s="44"/>
      <c r="RVU79" s="44"/>
      <c r="RVV79" s="44"/>
      <c r="RVW79" s="44"/>
      <c r="RVX79" s="44"/>
      <c r="RVY79" s="44"/>
      <c r="RVZ79" s="44"/>
      <c r="RWA79" s="44"/>
      <c r="RWB79" s="44"/>
      <c r="RWC79" s="44"/>
      <c r="RWD79" s="44"/>
      <c r="RWE79" s="44"/>
      <c r="RWF79" s="44"/>
      <c r="RWG79" s="44"/>
      <c r="RWH79" s="44"/>
      <c r="RWI79" s="44"/>
      <c r="RWJ79" s="44"/>
      <c r="RWK79" s="44"/>
      <c r="RWL79" s="44"/>
      <c r="RWM79" s="44"/>
      <c r="RWN79" s="44"/>
      <c r="RWO79" s="44"/>
      <c r="RWP79" s="44"/>
      <c r="RWQ79" s="44"/>
      <c r="RWR79" s="44"/>
      <c r="RWS79" s="44"/>
      <c r="RWT79" s="44"/>
      <c r="RWU79" s="44"/>
      <c r="RWV79" s="44"/>
      <c r="RWW79" s="44"/>
      <c r="RWX79" s="44"/>
      <c r="RWY79" s="44"/>
      <c r="RWZ79" s="44"/>
      <c r="RXA79" s="44"/>
      <c r="RXB79" s="44"/>
      <c r="RXC79" s="44"/>
      <c r="RXD79" s="44"/>
      <c r="RXE79" s="44"/>
      <c r="RXF79" s="44"/>
      <c r="RXG79" s="44"/>
      <c r="RXH79" s="44"/>
      <c r="RXI79" s="44"/>
      <c r="RXJ79" s="44"/>
      <c r="RXK79" s="44"/>
      <c r="RXL79" s="44"/>
      <c r="RXM79" s="44"/>
      <c r="RXN79" s="44"/>
      <c r="RXO79" s="44"/>
      <c r="RXP79" s="44"/>
      <c r="RXQ79" s="44"/>
      <c r="RXR79" s="44"/>
      <c r="RXS79" s="44"/>
      <c r="RXT79" s="44"/>
      <c r="RXU79" s="44"/>
      <c r="RXV79" s="44"/>
      <c r="RXW79" s="44"/>
      <c r="RXX79" s="44"/>
      <c r="RXY79" s="44"/>
      <c r="RXZ79" s="44"/>
      <c r="RYA79" s="44"/>
      <c r="RYB79" s="44"/>
      <c r="RYC79" s="44"/>
      <c r="RYD79" s="44"/>
      <c r="RYE79" s="44"/>
      <c r="RYF79" s="44"/>
      <c r="RYG79" s="44"/>
      <c r="RYH79" s="44"/>
      <c r="RYI79" s="44"/>
      <c r="RYJ79" s="44"/>
      <c r="RYK79" s="44"/>
      <c r="RYL79" s="44"/>
      <c r="RYM79" s="44"/>
      <c r="RYN79" s="44"/>
      <c r="RYO79" s="44"/>
      <c r="RYP79" s="44"/>
      <c r="RYQ79" s="44"/>
      <c r="RYR79" s="44"/>
      <c r="RYS79" s="44"/>
      <c r="RYT79" s="44"/>
      <c r="RYU79" s="44"/>
      <c r="RYV79" s="44"/>
      <c r="RYW79" s="44"/>
      <c r="RYX79" s="44"/>
      <c r="RYY79" s="44"/>
      <c r="RYZ79" s="44"/>
      <c r="RZA79" s="44"/>
      <c r="RZB79" s="44"/>
      <c r="RZC79" s="44"/>
      <c r="RZD79" s="44"/>
      <c r="RZE79" s="44"/>
      <c r="RZF79" s="44"/>
      <c r="RZG79" s="44"/>
      <c r="RZH79" s="44"/>
      <c r="RZI79" s="44"/>
      <c r="RZJ79" s="44"/>
      <c r="RZK79" s="44"/>
      <c r="RZL79" s="44"/>
      <c r="RZM79" s="44"/>
      <c r="RZN79" s="44"/>
      <c r="RZO79" s="44"/>
      <c r="RZP79" s="44"/>
      <c r="RZQ79" s="44"/>
      <c r="RZR79" s="44"/>
      <c r="RZS79" s="44"/>
      <c r="RZT79" s="44"/>
      <c r="RZU79" s="44"/>
      <c r="RZV79" s="44"/>
      <c r="RZW79" s="44"/>
      <c r="RZX79" s="44"/>
      <c r="RZY79" s="44"/>
      <c r="RZZ79" s="44"/>
      <c r="SAA79" s="44"/>
      <c r="SAB79" s="44"/>
      <c r="SAC79" s="44"/>
      <c r="SAD79" s="44"/>
      <c r="SAE79" s="44"/>
      <c r="SAF79" s="44"/>
      <c r="SAG79" s="44"/>
      <c r="SAH79" s="44"/>
      <c r="SAI79" s="44"/>
      <c r="SAJ79" s="44"/>
      <c r="SAK79" s="44"/>
      <c r="SAL79" s="44"/>
      <c r="SAM79" s="44"/>
      <c r="SAN79" s="44"/>
      <c r="SAO79" s="44"/>
      <c r="SAP79" s="44"/>
      <c r="SAQ79" s="44"/>
      <c r="SAR79" s="44"/>
      <c r="SAS79" s="44"/>
      <c r="SAT79" s="44"/>
      <c r="SAU79" s="44"/>
      <c r="SAV79" s="44"/>
      <c r="SAW79" s="44"/>
      <c r="SAX79" s="44"/>
      <c r="SAY79" s="44"/>
      <c r="SAZ79" s="44"/>
      <c r="SBA79" s="44"/>
      <c r="SBB79" s="44"/>
      <c r="SBC79" s="44"/>
      <c r="SBD79" s="44"/>
      <c r="SBE79" s="44"/>
      <c r="SBF79" s="44"/>
      <c r="SBG79" s="44"/>
      <c r="SBH79" s="44"/>
      <c r="SBI79" s="44"/>
      <c r="SBJ79" s="44"/>
      <c r="SBK79" s="44"/>
      <c r="SBL79" s="44"/>
      <c r="SBM79" s="44"/>
      <c r="SBN79" s="44"/>
      <c r="SBO79" s="44"/>
      <c r="SBP79" s="44"/>
      <c r="SBQ79" s="44"/>
      <c r="SBR79" s="44"/>
      <c r="SBS79" s="44"/>
      <c r="SBT79" s="44"/>
      <c r="SBU79" s="44"/>
      <c r="SBV79" s="44"/>
      <c r="SBW79" s="44"/>
      <c r="SBX79" s="44"/>
      <c r="SBY79" s="44"/>
      <c r="SBZ79" s="44"/>
      <c r="SCA79" s="44"/>
      <c r="SCB79" s="44"/>
      <c r="SCC79" s="44"/>
      <c r="SCD79" s="44"/>
      <c r="SCE79" s="44"/>
      <c r="SCF79" s="44"/>
      <c r="SCG79" s="44"/>
      <c r="SCH79" s="44"/>
      <c r="SCI79" s="44"/>
      <c r="SCJ79" s="44"/>
      <c r="SCK79" s="44"/>
      <c r="SCL79" s="44"/>
      <c r="SCM79" s="44"/>
      <c r="SCN79" s="44"/>
      <c r="SCO79" s="44"/>
      <c r="SCP79" s="44"/>
      <c r="SCQ79" s="44"/>
      <c r="SCR79" s="44"/>
      <c r="SCS79" s="44"/>
      <c r="SCT79" s="44"/>
      <c r="SCU79" s="44"/>
      <c r="SCV79" s="44"/>
      <c r="SCW79" s="44"/>
      <c r="SCX79" s="44"/>
      <c r="SCY79" s="44"/>
      <c r="SCZ79" s="44"/>
      <c r="SDA79" s="44"/>
      <c r="SDB79" s="44"/>
      <c r="SDC79" s="44"/>
      <c r="SDD79" s="44"/>
      <c r="SDE79" s="44"/>
      <c r="SDF79" s="44"/>
      <c r="SDG79" s="44"/>
      <c r="SDH79" s="44"/>
      <c r="SDI79" s="44"/>
      <c r="SDJ79" s="44"/>
      <c r="SDK79" s="44"/>
      <c r="SDL79" s="44"/>
      <c r="SDM79" s="44"/>
      <c r="SDN79" s="44"/>
      <c r="SDO79" s="44"/>
      <c r="SDP79" s="44"/>
      <c r="SDQ79" s="44"/>
      <c r="SDR79" s="44"/>
      <c r="SDS79" s="44"/>
      <c r="SDT79" s="44"/>
      <c r="SDU79" s="44"/>
      <c r="SDV79" s="44"/>
      <c r="SDW79" s="44"/>
      <c r="SDX79" s="44"/>
      <c r="SDY79" s="44"/>
      <c r="SDZ79" s="44"/>
      <c r="SEA79" s="44"/>
      <c r="SEB79" s="44"/>
      <c r="SEC79" s="44"/>
      <c r="SED79" s="44"/>
      <c r="SEE79" s="44"/>
      <c r="SEF79" s="44"/>
      <c r="SEG79" s="44"/>
      <c r="SEH79" s="44"/>
      <c r="SEI79" s="44"/>
      <c r="SEJ79" s="44"/>
      <c r="SEK79" s="44"/>
      <c r="SEL79" s="44"/>
      <c r="SEM79" s="44"/>
      <c r="SEN79" s="44"/>
      <c r="SEO79" s="44"/>
      <c r="SEP79" s="44"/>
      <c r="SEQ79" s="44"/>
      <c r="SER79" s="44"/>
      <c r="SES79" s="44"/>
      <c r="SET79" s="44"/>
      <c r="SEU79" s="44"/>
      <c r="SEV79" s="44"/>
      <c r="SEW79" s="44"/>
      <c r="SEX79" s="44"/>
      <c r="SEY79" s="44"/>
      <c r="SEZ79" s="44"/>
      <c r="SFA79" s="44"/>
      <c r="SFB79" s="44"/>
      <c r="SFC79" s="44"/>
      <c r="SFD79" s="44"/>
      <c r="SFE79" s="44"/>
      <c r="SFF79" s="44"/>
      <c r="SFG79" s="44"/>
      <c r="SFH79" s="44"/>
      <c r="SFI79" s="44"/>
      <c r="SFJ79" s="44"/>
      <c r="SFK79" s="44"/>
      <c r="SFL79" s="44"/>
      <c r="SFM79" s="44"/>
      <c r="SFN79" s="44"/>
      <c r="SFO79" s="44"/>
      <c r="SFP79" s="44"/>
      <c r="SFQ79" s="44"/>
      <c r="SFR79" s="44"/>
      <c r="SFS79" s="44"/>
      <c r="SFT79" s="44"/>
      <c r="SFU79" s="44"/>
      <c r="SFV79" s="44"/>
      <c r="SFW79" s="44"/>
      <c r="SFX79" s="44"/>
      <c r="SFY79" s="44"/>
      <c r="SFZ79" s="44"/>
      <c r="SGA79" s="44"/>
      <c r="SGB79" s="44"/>
      <c r="SGC79" s="44"/>
      <c r="SGD79" s="44"/>
      <c r="SGE79" s="44"/>
      <c r="SGF79" s="44"/>
      <c r="SGG79" s="44"/>
      <c r="SGH79" s="44"/>
      <c r="SGI79" s="44"/>
      <c r="SGJ79" s="44"/>
      <c r="SGK79" s="44"/>
      <c r="SGL79" s="44"/>
      <c r="SGM79" s="44"/>
      <c r="SGN79" s="44"/>
      <c r="SGO79" s="44"/>
      <c r="SGP79" s="44"/>
      <c r="SGQ79" s="44"/>
      <c r="SGR79" s="44"/>
      <c r="SGS79" s="44"/>
      <c r="SGT79" s="44"/>
      <c r="SGU79" s="44"/>
      <c r="SGV79" s="44"/>
      <c r="SGW79" s="44"/>
      <c r="SGX79" s="44"/>
      <c r="SGY79" s="44"/>
      <c r="SGZ79" s="44"/>
      <c r="SHA79" s="44"/>
      <c r="SHB79" s="44"/>
      <c r="SHC79" s="44"/>
      <c r="SHD79" s="44"/>
      <c r="SHE79" s="44"/>
      <c r="SHF79" s="44"/>
      <c r="SHG79" s="44"/>
      <c r="SHH79" s="44"/>
      <c r="SHI79" s="44"/>
      <c r="SHJ79" s="44"/>
      <c r="SHK79" s="44"/>
      <c r="SHL79" s="44"/>
      <c r="SHM79" s="44"/>
      <c r="SHN79" s="44"/>
      <c r="SHO79" s="44"/>
      <c r="SHP79" s="44"/>
      <c r="SHQ79" s="44"/>
      <c r="SHR79" s="44"/>
      <c r="SHS79" s="44"/>
      <c r="SHT79" s="44"/>
      <c r="SHU79" s="44"/>
      <c r="SHV79" s="44"/>
      <c r="SHW79" s="44"/>
      <c r="SHX79" s="44"/>
      <c r="SHY79" s="44"/>
      <c r="SHZ79" s="44"/>
      <c r="SIA79" s="44"/>
      <c r="SIB79" s="44"/>
      <c r="SIC79" s="44"/>
      <c r="SID79" s="44"/>
      <c r="SIE79" s="44"/>
      <c r="SIF79" s="44"/>
      <c r="SIG79" s="44"/>
      <c r="SIH79" s="44"/>
      <c r="SII79" s="44"/>
      <c r="SIJ79" s="44"/>
      <c r="SIK79" s="44"/>
      <c r="SIL79" s="44"/>
      <c r="SIM79" s="44"/>
      <c r="SIN79" s="44"/>
      <c r="SIO79" s="44"/>
      <c r="SIP79" s="44"/>
      <c r="SIQ79" s="44"/>
      <c r="SIR79" s="44"/>
      <c r="SIS79" s="44"/>
      <c r="SIT79" s="44"/>
      <c r="SIU79" s="44"/>
      <c r="SIV79" s="44"/>
      <c r="SIW79" s="44"/>
      <c r="SIX79" s="44"/>
      <c r="SIY79" s="44"/>
      <c r="SIZ79" s="44"/>
      <c r="SJA79" s="44"/>
      <c r="SJB79" s="44"/>
      <c r="SJC79" s="44"/>
      <c r="SJD79" s="44"/>
      <c r="SJE79" s="44"/>
      <c r="SJF79" s="44"/>
      <c r="SJG79" s="44"/>
      <c r="SJH79" s="44"/>
      <c r="SJI79" s="44"/>
      <c r="SJJ79" s="44"/>
      <c r="SJK79" s="44"/>
      <c r="SJL79" s="44"/>
      <c r="SJM79" s="44"/>
      <c r="SJN79" s="44"/>
      <c r="SJO79" s="44"/>
      <c r="SJP79" s="44"/>
      <c r="SJQ79" s="44"/>
      <c r="SJR79" s="44"/>
      <c r="SJS79" s="44"/>
      <c r="SJT79" s="44"/>
      <c r="SJU79" s="44"/>
      <c r="SJV79" s="44"/>
      <c r="SJW79" s="44"/>
      <c r="SJX79" s="44"/>
      <c r="SJY79" s="44"/>
      <c r="SJZ79" s="44"/>
      <c r="SKA79" s="44"/>
      <c r="SKB79" s="44"/>
      <c r="SKC79" s="44"/>
      <c r="SKD79" s="44"/>
      <c r="SKE79" s="44"/>
      <c r="SKF79" s="44"/>
      <c r="SKG79" s="44"/>
      <c r="SKH79" s="44"/>
      <c r="SKI79" s="44"/>
      <c r="SKJ79" s="44"/>
      <c r="SKK79" s="44"/>
      <c r="SKL79" s="44"/>
      <c r="SKM79" s="44"/>
      <c r="SKN79" s="44"/>
      <c r="SKO79" s="44"/>
      <c r="SKP79" s="44"/>
      <c r="SKQ79" s="44"/>
      <c r="SKR79" s="44"/>
      <c r="SKS79" s="44"/>
      <c r="SKT79" s="44"/>
      <c r="SKU79" s="44"/>
      <c r="SKV79" s="44"/>
      <c r="SKW79" s="44"/>
      <c r="SKX79" s="44"/>
      <c r="SKY79" s="44"/>
      <c r="SKZ79" s="44"/>
      <c r="SLA79" s="44"/>
      <c r="SLB79" s="44"/>
      <c r="SLC79" s="44"/>
      <c r="SLD79" s="44"/>
      <c r="SLE79" s="44"/>
      <c r="SLF79" s="44"/>
      <c r="SLG79" s="44"/>
      <c r="SLH79" s="44"/>
      <c r="SLI79" s="44"/>
      <c r="SLJ79" s="44"/>
      <c r="SLK79" s="44"/>
      <c r="SLL79" s="44"/>
      <c r="SLM79" s="44"/>
      <c r="SLN79" s="44"/>
      <c r="SLO79" s="44"/>
      <c r="SLP79" s="44"/>
      <c r="SLQ79" s="44"/>
      <c r="SLR79" s="44"/>
      <c r="SLS79" s="44"/>
      <c r="SLT79" s="44"/>
      <c r="SLU79" s="44"/>
      <c r="SLV79" s="44"/>
      <c r="SLW79" s="44"/>
      <c r="SLX79" s="44"/>
      <c r="SLY79" s="44"/>
      <c r="SLZ79" s="44"/>
      <c r="SMA79" s="44"/>
      <c r="SMB79" s="44"/>
      <c r="SMC79" s="44"/>
      <c r="SMD79" s="44"/>
      <c r="SME79" s="44"/>
      <c r="SMF79" s="44"/>
      <c r="SMG79" s="44"/>
      <c r="SMH79" s="44"/>
      <c r="SMI79" s="44"/>
      <c r="SMJ79" s="44"/>
      <c r="SMK79" s="44"/>
      <c r="SML79" s="44"/>
      <c r="SMM79" s="44"/>
      <c r="SMN79" s="44"/>
      <c r="SMO79" s="44"/>
      <c r="SMP79" s="44"/>
      <c r="SMQ79" s="44"/>
      <c r="SMR79" s="44"/>
      <c r="SMS79" s="44"/>
      <c r="SMT79" s="44"/>
      <c r="SMU79" s="44"/>
      <c r="SMV79" s="44"/>
      <c r="SMW79" s="44"/>
      <c r="SMX79" s="44"/>
      <c r="SMY79" s="44"/>
      <c r="SMZ79" s="44"/>
      <c r="SNA79" s="44"/>
      <c r="SNB79" s="44"/>
      <c r="SNC79" s="44"/>
      <c r="SND79" s="44"/>
      <c r="SNE79" s="44"/>
      <c r="SNF79" s="44"/>
      <c r="SNG79" s="44"/>
      <c r="SNH79" s="44"/>
      <c r="SNI79" s="44"/>
      <c r="SNJ79" s="44"/>
      <c r="SNK79" s="44"/>
      <c r="SNL79" s="44"/>
      <c r="SNM79" s="44"/>
      <c r="SNN79" s="44"/>
      <c r="SNO79" s="44"/>
      <c r="SNP79" s="44"/>
      <c r="SNQ79" s="44"/>
      <c r="SNR79" s="44"/>
      <c r="SNS79" s="44"/>
      <c r="SNT79" s="44"/>
      <c r="SNU79" s="44"/>
      <c r="SNV79" s="44"/>
      <c r="SNW79" s="44"/>
      <c r="SNX79" s="44"/>
      <c r="SNY79" s="44"/>
      <c r="SNZ79" s="44"/>
      <c r="SOA79" s="44"/>
      <c r="SOB79" s="44"/>
      <c r="SOC79" s="44"/>
      <c r="SOD79" s="44"/>
      <c r="SOE79" s="44"/>
      <c r="SOF79" s="44"/>
      <c r="SOG79" s="44"/>
      <c r="SOH79" s="44"/>
      <c r="SOI79" s="44"/>
      <c r="SOJ79" s="44"/>
      <c r="SOK79" s="44"/>
      <c r="SOL79" s="44"/>
      <c r="SOM79" s="44"/>
      <c r="SON79" s="44"/>
      <c r="SOO79" s="44"/>
      <c r="SOP79" s="44"/>
      <c r="SOQ79" s="44"/>
      <c r="SOR79" s="44"/>
      <c r="SOS79" s="44"/>
      <c r="SOT79" s="44"/>
      <c r="SOU79" s="44"/>
      <c r="SOV79" s="44"/>
      <c r="SOW79" s="44"/>
      <c r="SOX79" s="44"/>
      <c r="SOY79" s="44"/>
      <c r="SOZ79" s="44"/>
      <c r="SPA79" s="44"/>
      <c r="SPB79" s="44"/>
      <c r="SPC79" s="44"/>
      <c r="SPD79" s="44"/>
      <c r="SPE79" s="44"/>
      <c r="SPF79" s="44"/>
      <c r="SPG79" s="44"/>
      <c r="SPH79" s="44"/>
      <c r="SPI79" s="44"/>
      <c r="SPJ79" s="44"/>
      <c r="SPK79" s="44"/>
      <c r="SPL79" s="44"/>
      <c r="SPM79" s="44"/>
      <c r="SPN79" s="44"/>
      <c r="SPO79" s="44"/>
      <c r="SPP79" s="44"/>
      <c r="SPQ79" s="44"/>
      <c r="SPR79" s="44"/>
      <c r="SPS79" s="44"/>
      <c r="SPT79" s="44"/>
      <c r="SPU79" s="44"/>
      <c r="SPV79" s="44"/>
      <c r="SPW79" s="44"/>
      <c r="SPX79" s="44"/>
      <c r="SPY79" s="44"/>
      <c r="SPZ79" s="44"/>
      <c r="SQA79" s="44"/>
      <c r="SQB79" s="44"/>
      <c r="SQC79" s="44"/>
      <c r="SQD79" s="44"/>
      <c r="SQE79" s="44"/>
      <c r="SQF79" s="44"/>
      <c r="SQG79" s="44"/>
      <c r="SQH79" s="44"/>
      <c r="SQI79" s="44"/>
      <c r="SQJ79" s="44"/>
      <c r="SQK79" s="44"/>
      <c r="SQL79" s="44"/>
      <c r="SQM79" s="44"/>
      <c r="SQN79" s="44"/>
      <c r="SQO79" s="44"/>
      <c r="SQP79" s="44"/>
      <c r="SQQ79" s="44"/>
      <c r="SQR79" s="44"/>
      <c r="SQS79" s="44"/>
      <c r="SQT79" s="44"/>
      <c r="SQU79" s="44"/>
      <c r="SQV79" s="44"/>
      <c r="SQW79" s="44"/>
      <c r="SQX79" s="44"/>
      <c r="SQY79" s="44"/>
      <c r="SQZ79" s="44"/>
      <c r="SRA79" s="44"/>
      <c r="SRB79" s="44"/>
      <c r="SRC79" s="44"/>
      <c r="SRD79" s="44"/>
      <c r="SRE79" s="44"/>
      <c r="SRF79" s="44"/>
      <c r="SRG79" s="44"/>
      <c r="SRH79" s="44"/>
      <c r="SRI79" s="44"/>
      <c r="SRJ79" s="44"/>
      <c r="SRK79" s="44"/>
      <c r="SRL79" s="44"/>
      <c r="SRM79" s="44"/>
      <c r="SRN79" s="44"/>
      <c r="SRO79" s="44"/>
      <c r="SRP79" s="44"/>
      <c r="SRQ79" s="44"/>
      <c r="SRR79" s="44"/>
      <c r="SRS79" s="44"/>
      <c r="SRT79" s="44"/>
      <c r="SRU79" s="44"/>
      <c r="SRV79" s="44"/>
      <c r="SRW79" s="44"/>
      <c r="SRX79" s="44"/>
      <c r="SRY79" s="44"/>
      <c r="SRZ79" s="44"/>
      <c r="SSA79" s="44"/>
      <c r="SSB79" s="44"/>
      <c r="SSC79" s="44"/>
      <c r="SSD79" s="44"/>
      <c r="SSE79" s="44"/>
      <c r="SSF79" s="44"/>
      <c r="SSG79" s="44"/>
      <c r="SSH79" s="44"/>
      <c r="SSI79" s="44"/>
      <c r="SSJ79" s="44"/>
      <c r="SSK79" s="44"/>
      <c r="SSL79" s="44"/>
      <c r="SSM79" s="44"/>
      <c r="SSN79" s="44"/>
      <c r="SSO79" s="44"/>
      <c r="SSP79" s="44"/>
      <c r="SSQ79" s="44"/>
      <c r="SSR79" s="44"/>
      <c r="SSS79" s="44"/>
      <c r="SST79" s="44"/>
      <c r="SSU79" s="44"/>
      <c r="SSV79" s="44"/>
      <c r="SSW79" s="44"/>
      <c r="SSX79" s="44"/>
      <c r="SSY79" s="44"/>
      <c r="SSZ79" s="44"/>
      <c r="STA79" s="44"/>
      <c r="STB79" s="44"/>
      <c r="STC79" s="44"/>
      <c r="STD79" s="44"/>
      <c r="STE79" s="44"/>
      <c r="STF79" s="44"/>
      <c r="STG79" s="44"/>
      <c r="STH79" s="44"/>
      <c r="STI79" s="44"/>
      <c r="STJ79" s="44"/>
      <c r="STK79" s="44"/>
      <c r="STL79" s="44"/>
      <c r="STM79" s="44"/>
      <c r="STN79" s="44"/>
      <c r="STO79" s="44"/>
      <c r="STP79" s="44"/>
      <c r="STQ79" s="44"/>
      <c r="STR79" s="44"/>
      <c r="STS79" s="44"/>
      <c r="STT79" s="44"/>
      <c r="STU79" s="44"/>
      <c r="STV79" s="44"/>
      <c r="STW79" s="44"/>
      <c r="STX79" s="44"/>
      <c r="STY79" s="44"/>
      <c r="STZ79" s="44"/>
      <c r="SUA79" s="44"/>
      <c r="SUB79" s="44"/>
      <c r="SUC79" s="44"/>
      <c r="SUD79" s="44"/>
      <c r="SUE79" s="44"/>
      <c r="SUF79" s="44"/>
      <c r="SUG79" s="44"/>
      <c r="SUH79" s="44"/>
      <c r="SUI79" s="44"/>
      <c r="SUJ79" s="44"/>
      <c r="SUK79" s="44"/>
      <c r="SUL79" s="44"/>
      <c r="SUM79" s="44"/>
      <c r="SUN79" s="44"/>
      <c r="SUO79" s="44"/>
      <c r="SUP79" s="44"/>
      <c r="SUQ79" s="44"/>
      <c r="SUR79" s="44"/>
      <c r="SUS79" s="44"/>
      <c r="SUT79" s="44"/>
      <c r="SUU79" s="44"/>
      <c r="SUV79" s="44"/>
      <c r="SUW79" s="44"/>
      <c r="SUX79" s="44"/>
      <c r="SUY79" s="44"/>
      <c r="SUZ79" s="44"/>
      <c r="SVA79" s="44"/>
      <c r="SVB79" s="44"/>
      <c r="SVC79" s="44"/>
      <c r="SVD79" s="44"/>
      <c r="SVE79" s="44"/>
      <c r="SVF79" s="44"/>
      <c r="SVG79" s="44"/>
      <c r="SVH79" s="44"/>
      <c r="SVI79" s="44"/>
      <c r="SVJ79" s="44"/>
      <c r="SVK79" s="44"/>
      <c r="SVL79" s="44"/>
      <c r="SVM79" s="44"/>
      <c r="SVN79" s="44"/>
      <c r="SVO79" s="44"/>
      <c r="SVP79" s="44"/>
      <c r="SVQ79" s="44"/>
      <c r="SVR79" s="44"/>
      <c r="SVS79" s="44"/>
      <c r="SVT79" s="44"/>
      <c r="SVU79" s="44"/>
      <c r="SVV79" s="44"/>
      <c r="SVW79" s="44"/>
      <c r="SVX79" s="44"/>
      <c r="SVY79" s="44"/>
      <c r="SVZ79" s="44"/>
      <c r="SWA79" s="44"/>
      <c r="SWB79" s="44"/>
      <c r="SWC79" s="44"/>
      <c r="SWD79" s="44"/>
      <c r="SWE79" s="44"/>
      <c r="SWF79" s="44"/>
      <c r="SWG79" s="44"/>
      <c r="SWH79" s="44"/>
      <c r="SWI79" s="44"/>
      <c r="SWJ79" s="44"/>
      <c r="SWK79" s="44"/>
      <c r="SWL79" s="44"/>
      <c r="SWM79" s="44"/>
      <c r="SWN79" s="44"/>
      <c r="SWO79" s="44"/>
      <c r="SWP79" s="44"/>
      <c r="SWQ79" s="44"/>
      <c r="SWR79" s="44"/>
      <c r="SWS79" s="44"/>
      <c r="SWT79" s="44"/>
      <c r="SWU79" s="44"/>
      <c r="SWV79" s="44"/>
      <c r="SWW79" s="44"/>
      <c r="SWX79" s="44"/>
      <c r="SWY79" s="44"/>
      <c r="SWZ79" s="44"/>
      <c r="SXA79" s="44"/>
      <c r="SXB79" s="44"/>
      <c r="SXC79" s="44"/>
      <c r="SXD79" s="44"/>
      <c r="SXE79" s="44"/>
      <c r="SXF79" s="44"/>
      <c r="SXG79" s="44"/>
      <c r="SXH79" s="44"/>
      <c r="SXI79" s="44"/>
      <c r="SXJ79" s="44"/>
      <c r="SXK79" s="44"/>
      <c r="SXL79" s="44"/>
      <c r="SXM79" s="44"/>
      <c r="SXN79" s="44"/>
      <c r="SXO79" s="44"/>
      <c r="SXP79" s="44"/>
      <c r="SXQ79" s="44"/>
      <c r="SXR79" s="44"/>
      <c r="SXS79" s="44"/>
      <c r="SXT79" s="44"/>
      <c r="SXU79" s="44"/>
      <c r="SXV79" s="44"/>
      <c r="SXW79" s="44"/>
      <c r="SXX79" s="44"/>
      <c r="SXY79" s="44"/>
      <c r="SXZ79" s="44"/>
      <c r="SYA79" s="44"/>
      <c r="SYB79" s="44"/>
      <c r="SYC79" s="44"/>
      <c r="SYD79" s="44"/>
      <c r="SYE79" s="44"/>
      <c r="SYF79" s="44"/>
      <c r="SYG79" s="44"/>
      <c r="SYH79" s="44"/>
      <c r="SYI79" s="44"/>
      <c r="SYJ79" s="44"/>
      <c r="SYK79" s="44"/>
      <c r="SYL79" s="44"/>
      <c r="SYM79" s="44"/>
      <c r="SYN79" s="44"/>
      <c r="SYO79" s="44"/>
      <c r="SYP79" s="44"/>
      <c r="SYQ79" s="44"/>
      <c r="SYR79" s="44"/>
      <c r="SYS79" s="44"/>
      <c r="SYT79" s="44"/>
      <c r="SYU79" s="44"/>
      <c r="SYV79" s="44"/>
      <c r="SYW79" s="44"/>
      <c r="SYX79" s="44"/>
      <c r="SYY79" s="44"/>
      <c r="SYZ79" s="44"/>
      <c r="SZA79" s="44"/>
      <c r="SZB79" s="44"/>
      <c r="SZC79" s="44"/>
      <c r="SZD79" s="44"/>
      <c r="SZE79" s="44"/>
      <c r="SZF79" s="44"/>
      <c r="SZG79" s="44"/>
      <c r="SZH79" s="44"/>
      <c r="SZI79" s="44"/>
      <c r="SZJ79" s="44"/>
      <c r="SZK79" s="44"/>
      <c r="SZL79" s="44"/>
      <c r="SZM79" s="44"/>
      <c r="SZN79" s="44"/>
      <c r="SZO79" s="44"/>
      <c r="SZP79" s="44"/>
      <c r="SZQ79" s="44"/>
      <c r="SZR79" s="44"/>
      <c r="SZS79" s="44"/>
      <c r="SZT79" s="44"/>
      <c r="SZU79" s="44"/>
      <c r="SZV79" s="44"/>
      <c r="SZW79" s="44"/>
      <c r="SZX79" s="44"/>
      <c r="SZY79" s="44"/>
      <c r="SZZ79" s="44"/>
      <c r="TAA79" s="44"/>
      <c r="TAB79" s="44"/>
      <c r="TAC79" s="44"/>
      <c r="TAD79" s="44"/>
      <c r="TAE79" s="44"/>
      <c r="TAF79" s="44"/>
      <c r="TAG79" s="44"/>
      <c r="TAH79" s="44"/>
      <c r="TAI79" s="44"/>
      <c r="TAJ79" s="44"/>
      <c r="TAK79" s="44"/>
      <c r="TAL79" s="44"/>
      <c r="TAM79" s="44"/>
      <c r="TAN79" s="44"/>
      <c r="TAO79" s="44"/>
      <c r="TAP79" s="44"/>
      <c r="TAQ79" s="44"/>
      <c r="TAR79" s="44"/>
      <c r="TAS79" s="44"/>
      <c r="TAT79" s="44"/>
      <c r="TAU79" s="44"/>
      <c r="TAV79" s="44"/>
      <c r="TAW79" s="44"/>
      <c r="TAX79" s="44"/>
      <c r="TAY79" s="44"/>
      <c r="TAZ79" s="44"/>
      <c r="TBA79" s="44"/>
      <c r="TBB79" s="44"/>
      <c r="TBC79" s="44"/>
      <c r="TBD79" s="44"/>
      <c r="TBE79" s="44"/>
      <c r="TBF79" s="44"/>
      <c r="TBG79" s="44"/>
      <c r="TBH79" s="44"/>
      <c r="TBI79" s="44"/>
      <c r="TBJ79" s="44"/>
      <c r="TBK79" s="44"/>
      <c r="TBL79" s="44"/>
      <c r="TBM79" s="44"/>
      <c r="TBN79" s="44"/>
      <c r="TBO79" s="44"/>
      <c r="TBP79" s="44"/>
      <c r="TBQ79" s="44"/>
      <c r="TBR79" s="44"/>
      <c r="TBS79" s="44"/>
      <c r="TBT79" s="44"/>
      <c r="TBU79" s="44"/>
      <c r="TBV79" s="44"/>
      <c r="TBW79" s="44"/>
      <c r="TBX79" s="44"/>
      <c r="TBY79" s="44"/>
      <c r="TBZ79" s="44"/>
      <c r="TCA79" s="44"/>
      <c r="TCB79" s="44"/>
      <c r="TCC79" s="44"/>
      <c r="TCD79" s="44"/>
      <c r="TCE79" s="44"/>
      <c r="TCF79" s="44"/>
      <c r="TCG79" s="44"/>
      <c r="TCH79" s="44"/>
      <c r="TCI79" s="44"/>
      <c r="TCJ79" s="44"/>
      <c r="TCK79" s="44"/>
      <c r="TCL79" s="44"/>
      <c r="TCM79" s="44"/>
      <c r="TCN79" s="44"/>
      <c r="TCO79" s="44"/>
      <c r="TCP79" s="44"/>
      <c r="TCQ79" s="44"/>
      <c r="TCR79" s="44"/>
      <c r="TCS79" s="44"/>
      <c r="TCT79" s="44"/>
      <c r="TCU79" s="44"/>
      <c r="TCV79" s="44"/>
      <c r="TCW79" s="44"/>
      <c r="TCX79" s="44"/>
      <c r="TCY79" s="44"/>
      <c r="TCZ79" s="44"/>
      <c r="TDA79" s="44"/>
      <c r="TDB79" s="44"/>
      <c r="TDC79" s="44"/>
      <c r="TDD79" s="44"/>
      <c r="TDE79" s="44"/>
      <c r="TDF79" s="44"/>
      <c r="TDG79" s="44"/>
      <c r="TDH79" s="44"/>
      <c r="TDI79" s="44"/>
      <c r="TDJ79" s="44"/>
      <c r="TDK79" s="44"/>
      <c r="TDL79" s="44"/>
      <c r="TDM79" s="44"/>
      <c r="TDN79" s="44"/>
      <c r="TDO79" s="44"/>
      <c r="TDP79" s="44"/>
      <c r="TDQ79" s="44"/>
      <c r="TDR79" s="44"/>
      <c r="TDS79" s="44"/>
      <c r="TDT79" s="44"/>
      <c r="TDU79" s="44"/>
      <c r="TDV79" s="44"/>
      <c r="TDW79" s="44"/>
      <c r="TDX79" s="44"/>
      <c r="TDY79" s="44"/>
      <c r="TDZ79" s="44"/>
      <c r="TEA79" s="44"/>
      <c r="TEB79" s="44"/>
      <c r="TEC79" s="44"/>
      <c r="TED79" s="44"/>
      <c r="TEE79" s="44"/>
      <c r="TEF79" s="44"/>
      <c r="TEG79" s="44"/>
      <c r="TEH79" s="44"/>
      <c r="TEI79" s="44"/>
      <c r="TEJ79" s="44"/>
      <c r="TEK79" s="44"/>
      <c r="TEL79" s="44"/>
      <c r="TEM79" s="44"/>
      <c r="TEN79" s="44"/>
      <c r="TEO79" s="44"/>
      <c r="TEP79" s="44"/>
      <c r="TEQ79" s="44"/>
      <c r="TER79" s="44"/>
      <c r="TES79" s="44"/>
      <c r="TET79" s="44"/>
      <c r="TEU79" s="44"/>
      <c r="TEV79" s="44"/>
      <c r="TEW79" s="44"/>
      <c r="TEX79" s="44"/>
      <c r="TEY79" s="44"/>
      <c r="TEZ79" s="44"/>
      <c r="TFA79" s="44"/>
      <c r="TFB79" s="44"/>
      <c r="TFC79" s="44"/>
      <c r="TFD79" s="44"/>
      <c r="TFE79" s="44"/>
      <c r="TFF79" s="44"/>
      <c r="TFG79" s="44"/>
      <c r="TFH79" s="44"/>
      <c r="TFI79" s="44"/>
      <c r="TFJ79" s="44"/>
      <c r="TFK79" s="44"/>
      <c r="TFL79" s="44"/>
      <c r="TFM79" s="44"/>
      <c r="TFN79" s="44"/>
      <c r="TFO79" s="44"/>
      <c r="TFP79" s="44"/>
      <c r="TFQ79" s="44"/>
      <c r="TFR79" s="44"/>
      <c r="TFS79" s="44"/>
      <c r="TFT79" s="44"/>
      <c r="TFU79" s="44"/>
      <c r="TFV79" s="44"/>
      <c r="TFW79" s="44"/>
      <c r="TFX79" s="44"/>
      <c r="TFY79" s="44"/>
      <c r="TFZ79" s="44"/>
      <c r="TGA79" s="44"/>
      <c r="TGB79" s="44"/>
      <c r="TGC79" s="44"/>
      <c r="TGD79" s="44"/>
      <c r="TGE79" s="44"/>
      <c r="TGF79" s="44"/>
      <c r="TGG79" s="44"/>
      <c r="TGH79" s="44"/>
      <c r="TGI79" s="44"/>
      <c r="TGJ79" s="44"/>
      <c r="TGK79" s="44"/>
      <c r="TGL79" s="44"/>
      <c r="TGM79" s="44"/>
      <c r="TGN79" s="44"/>
      <c r="TGO79" s="44"/>
      <c r="TGP79" s="44"/>
      <c r="TGQ79" s="44"/>
      <c r="TGR79" s="44"/>
      <c r="TGS79" s="44"/>
      <c r="TGT79" s="44"/>
      <c r="TGU79" s="44"/>
      <c r="TGV79" s="44"/>
      <c r="TGW79" s="44"/>
      <c r="TGX79" s="44"/>
      <c r="TGY79" s="44"/>
      <c r="TGZ79" s="44"/>
      <c r="THA79" s="44"/>
      <c r="THB79" s="44"/>
      <c r="THC79" s="44"/>
      <c r="THD79" s="44"/>
      <c r="THE79" s="44"/>
      <c r="THF79" s="44"/>
      <c r="THG79" s="44"/>
      <c r="THH79" s="44"/>
      <c r="THI79" s="44"/>
      <c r="THJ79" s="44"/>
      <c r="THK79" s="44"/>
      <c r="THL79" s="44"/>
      <c r="THM79" s="44"/>
      <c r="THN79" s="44"/>
      <c r="THO79" s="44"/>
      <c r="THP79" s="44"/>
      <c r="THQ79" s="44"/>
      <c r="THR79" s="44"/>
      <c r="THS79" s="44"/>
      <c r="THT79" s="44"/>
      <c r="THU79" s="44"/>
      <c r="THV79" s="44"/>
      <c r="THW79" s="44"/>
      <c r="THX79" s="44"/>
      <c r="THY79" s="44"/>
      <c r="THZ79" s="44"/>
      <c r="TIA79" s="44"/>
      <c r="TIB79" s="44"/>
      <c r="TIC79" s="44"/>
      <c r="TID79" s="44"/>
      <c r="TIE79" s="44"/>
      <c r="TIF79" s="44"/>
      <c r="TIG79" s="44"/>
      <c r="TIH79" s="44"/>
      <c r="TII79" s="44"/>
      <c r="TIJ79" s="44"/>
      <c r="TIK79" s="44"/>
      <c r="TIL79" s="44"/>
      <c r="TIM79" s="44"/>
      <c r="TIN79" s="44"/>
      <c r="TIO79" s="44"/>
      <c r="TIP79" s="44"/>
      <c r="TIQ79" s="44"/>
      <c r="TIR79" s="44"/>
      <c r="TIS79" s="44"/>
      <c r="TIT79" s="44"/>
      <c r="TIU79" s="44"/>
      <c r="TIV79" s="44"/>
      <c r="TIW79" s="44"/>
      <c r="TIX79" s="44"/>
      <c r="TIY79" s="44"/>
      <c r="TIZ79" s="44"/>
      <c r="TJA79" s="44"/>
      <c r="TJB79" s="44"/>
      <c r="TJC79" s="44"/>
      <c r="TJD79" s="44"/>
      <c r="TJE79" s="44"/>
      <c r="TJF79" s="44"/>
      <c r="TJG79" s="44"/>
      <c r="TJH79" s="44"/>
      <c r="TJI79" s="44"/>
      <c r="TJJ79" s="44"/>
      <c r="TJK79" s="44"/>
      <c r="TJL79" s="44"/>
      <c r="TJM79" s="44"/>
      <c r="TJN79" s="44"/>
      <c r="TJO79" s="44"/>
      <c r="TJP79" s="44"/>
      <c r="TJQ79" s="44"/>
      <c r="TJR79" s="44"/>
      <c r="TJS79" s="44"/>
      <c r="TJT79" s="44"/>
      <c r="TJU79" s="44"/>
      <c r="TJV79" s="44"/>
      <c r="TJW79" s="44"/>
      <c r="TJX79" s="44"/>
      <c r="TJY79" s="44"/>
      <c r="TJZ79" s="44"/>
      <c r="TKA79" s="44"/>
      <c r="TKB79" s="44"/>
      <c r="TKC79" s="44"/>
      <c r="TKD79" s="44"/>
      <c r="TKE79" s="44"/>
      <c r="TKF79" s="44"/>
      <c r="TKG79" s="44"/>
      <c r="TKH79" s="44"/>
      <c r="TKI79" s="44"/>
      <c r="TKJ79" s="44"/>
      <c r="TKK79" s="44"/>
      <c r="TKL79" s="44"/>
      <c r="TKM79" s="44"/>
      <c r="TKN79" s="44"/>
      <c r="TKO79" s="44"/>
      <c r="TKP79" s="44"/>
      <c r="TKQ79" s="44"/>
      <c r="TKR79" s="44"/>
      <c r="TKS79" s="44"/>
      <c r="TKT79" s="44"/>
      <c r="TKU79" s="44"/>
      <c r="TKV79" s="44"/>
      <c r="TKW79" s="44"/>
      <c r="TKX79" s="44"/>
      <c r="TKY79" s="44"/>
      <c r="TKZ79" s="44"/>
      <c r="TLA79" s="44"/>
      <c r="TLB79" s="44"/>
      <c r="TLC79" s="44"/>
      <c r="TLD79" s="44"/>
      <c r="TLE79" s="44"/>
      <c r="TLF79" s="44"/>
      <c r="TLG79" s="44"/>
      <c r="TLH79" s="44"/>
      <c r="TLI79" s="44"/>
      <c r="TLJ79" s="44"/>
      <c r="TLK79" s="44"/>
      <c r="TLL79" s="44"/>
      <c r="TLM79" s="44"/>
      <c r="TLN79" s="44"/>
      <c r="TLO79" s="44"/>
      <c r="TLP79" s="44"/>
      <c r="TLQ79" s="44"/>
      <c r="TLR79" s="44"/>
      <c r="TLS79" s="44"/>
      <c r="TLT79" s="44"/>
      <c r="TLU79" s="44"/>
      <c r="TLV79" s="44"/>
      <c r="TLW79" s="44"/>
      <c r="TLX79" s="44"/>
      <c r="TLY79" s="44"/>
      <c r="TLZ79" s="44"/>
      <c r="TMA79" s="44"/>
      <c r="TMB79" s="44"/>
      <c r="TMC79" s="44"/>
      <c r="TMD79" s="44"/>
      <c r="TME79" s="44"/>
      <c r="TMF79" s="44"/>
      <c r="TMG79" s="44"/>
      <c r="TMH79" s="44"/>
      <c r="TMI79" s="44"/>
      <c r="TMJ79" s="44"/>
      <c r="TMK79" s="44"/>
      <c r="TML79" s="44"/>
      <c r="TMM79" s="44"/>
      <c r="TMN79" s="44"/>
      <c r="TMO79" s="44"/>
      <c r="TMP79" s="44"/>
      <c r="TMQ79" s="44"/>
      <c r="TMR79" s="44"/>
      <c r="TMS79" s="44"/>
      <c r="TMT79" s="44"/>
      <c r="TMU79" s="44"/>
      <c r="TMV79" s="44"/>
      <c r="TMW79" s="44"/>
      <c r="TMX79" s="44"/>
      <c r="TMY79" s="44"/>
      <c r="TMZ79" s="44"/>
      <c r="TNA79" s="44"/>
      <c r="TNB79" s="44"/>
      <c r="TNC79" s="44"/>
      <c r="TND79" s="44"/>
      <c r="TNE79" s="44"/>
      <c r="TNF79" s="44"/>
      <c r="TNG79" s="44"/>
      <c r="TNH79" s="44"/>
      <c r="TNI79" s="44"/>
      <c r="TNJ79" s="44"/>
      <c r="TNK79" s="44"/>
      <c r="TNL79" s="44"/>
      <c r="TNM79" s="44"/>
      <c r="TNN79" s="44"/>
      <c r="TNO79" s="44"/>
      <c r="TNP79" s="44"/>
      <c r="TNQ79" s="44"/>
      <c r="TNR79" s="44"/>
      <c r="TNS79" s="44"/>
      <c r="TNT79" s="44"/>
      <c r="TNU79" s="44"/>
      <c r="TNV79" s="44"/>
      <c r="TNW79" s="44"/>
      <c r="TNX79" s="44"/>
      <c r="TNY79" s="44"/>
      <c r="TNZ79" s="44"/>
      <c r="TOA79" s="44"/>
      <c r="TOB79" s="44"/>
      <c r="TOC79" s="44"/>
      <c r="TOD79" s="44"/>
      <c r="TOE79" s="44"/>
      <c r="TOF79" s="44"/>
      <c r="TOG79" s="44"/>
      <c r="TOH79" s="44"/>
      <c r="TOI79" s="44"/>
      <c r="TOJ79" s="44"/>
      <c r="TOK79" s="44"/>
      <c r="TOL79" s="44"/>
      <c r="TOM79" s="44"/>
      <c r="TON79" s="44"/>
      <c r="TOO79" s="44"/>
      <c r="TOP79" s="44"/>
      <c r="TOQ79" s="44"/>
      <c r="TOR79" s="44"/>
      <c r="TOS79" s="44"/>
      <c r="TOT79" s="44"/>
      <c r="TOU79" s="44"/>
      <c r="TOV79" s="44"/>
      <c r="TOW79" s="44"/>
      <c r="TOX79" s="44"/>
      <c r="TOY79" s="44"/>
      <c r="TOZ79" s="44"/>
      <c r="TPA79" s="44"/>
      <c r="TPB79" s="44"/>
      <c r="TPC79" s="44"/>
      <c r="TPD79" s="44"/>
      <c r="TPE79" s="44"/>
      <c r="TPF79" s="44"/>
      <c r="TPG79" s="44"/>
      <c r="TPH79" s="44"/>
      <c r="TPI79" s="44"/>
      <c r="TPJ79" s="44"/>
      <c r="TPK79" s="44"/>
      <c r="TPL79" s="44"/>
      <c r="TPM79" s="44"/>
      <c r="TPN79" s="44"/>
      <c r="TPO79" s="44"/>
      <c r="TPP79" s="44"/>
      <c r="TPQ79" s="44"/>
      <c r="TPR79" s="44"/>
      <c r="TPS79" s="44"/>
      <c r="TPT79" s="44"/>
      <c r="TPU79" s="44"/>
      <c r="TPV79" s="44"/>
      <c r="TPW79" s="44"/>
      <c r="TPX79" s="44"/>
      <c r="TPY79" s="44"/>
      <c r="TPZ79" s="44"/>
      <c r="TQA79" s="44"/>
      <c r="TQB79" s="44"/>
      <c r="TQC79" s="44"/>
      <c r="TQD79" s="44"/>
      <c r="TQE79" s="44"/>
      <c r="TQF79" s="44"/>
      <c r="TQG79" s="44"/>
      <c r="TQH79" s="44"/>
      <c r="TQI79" s="44"/>
      <c r="TQJ79" s="44"/>
      <c r="TQK79" s="44"/>
      <c r="TQL79" s="44"/>
      <c r="TQM79" s="44"/>
      <c r="TQN79" s="44"/>
      <c r="TQO79" s="44"/>
      <c r="TQP79" s="44"/>
      <c r="TQQ79" s="44"/>
      <c r="TQR79" s="44"/>
      <c r="TQS79" s="44"/>
      <c r="TQT79" s="44"/>
      <c r="TQU79" s="44"/>
      <c r="TQV79" s="44"/>
      <c r="TQW79" s="44"/>
      <c r="TQX79" s="44"/>
      <c r="TQY79" s="44"/>
      <c r="TQZ79" s="44"/>
      <c r="TRA79" s="44"/>
      <c r="TRB79" s="44"/>
      <c r="TRC79" s="44"/>
      <c r="TRD79" s="44"/>
      <c r="TRE79" s="44"/>
      <c r="TRF79" s="44"/>
      <c r="TRG79" s="44"/>
      <c r="TRH79" s="44"/>
      <c r="TRI79" s="44"/>
      <c r="TRJ79" s="44"/>
      <c r="TRK79" s="44"/>
      <c r="TRL79" s="44"/>
      <c r="TRM79" s="44"/>
      <c r="TRN79" s="44"/>
      <c r="TRO79" s="44"/>
      <c r="TRP79" s="44"/>
      <c r="TRQ79" s="44"/>
      <c r="TRR79" s="44"/>
      <c r="TRS79" s="44"/>
      <c r="TRT79" s="44"/>
      <c r="TRU79" s="44"/>
      <c r="TRV79" s="44"/>
      <c r="TRW79" s="44"/>
      <c r="TRX79" s="44"/>
      <c r="TRY79" s="44"/>
      <c r="TRZ79" s="44"/>
      <c r="TSA79" s="44"/>
      <c r="TSB79" s="44"/>
      <c r="TSC79" s="44"/>
      <c r="TSD79" s="44"/>
      <c r="TSE79" s="44"/>
      <c r="TSF79" s="44"/>
      <c r="TSG79" s="44"/>
      <c r="TSH79" s="44"/>
      <c r="TSI79" s="44"/>
      <c r="TSJ79" s="44"/>
      <c r="TSK79" s="44"/>
      <c r="TSL79" s="44"/>
      <c r="TSM79" s="44"/>
      <c r="TSN79" s="44"/>
      <c r="TSO79" s="44"/>
      <c r="TSP79" s="44"/>
      <c r="TSQ79" s="44"/>
      <c r="TSR79" s="44"/>
      <c r="TSS79" s="44"/>
      <c r="TST79" s="44"/>
      <c r="TSU79" s="44"/>
      <c r="TSV79" s="44"/>
      <c r="TSW79" s="44"/>
      <c r="TSX79" s="44"/>
      <c r="TSY79" s="44"/>
      <c r="TSZ79" s="44"/>
      <c r="TTA79" s="44"/>
      <c r="TTB79" s="44"/>
      <c r="TTC79" s="44"/>
      <c r="TTD79" s="44"/>
      <c r="TTE79" s="44"/>
      <c r="TTF79" s="44"/>
      <c r="TTG79" s="44"/>
      <c r="TTH79" s="44"/>
      <c r="TTI79" s="44"/>
      <c r="TTJ79" s="44"/>
      <c r="TTK79" s="44"/>
      <c r="TTL79" s="44"/>
      <c r="TTM79" s="44"/>
      <c r="TTN79" s="44"/>
      <c r="TTO79" s="44"/>
      <c r="TTP79" s="44"/>
      <c r="TTQ79" s="44"/>
      <c r="TTR79" s="44"/>
      <c r="TTS79" s="44"/>
      <c r="TTT79" s="44"/>
      <c r="TTU79" s="44"/>
      <c r="TTV79" s="44"/>
      <c r="TTW79" s="44"/>
      <c r="TTX79" s="44"/>
      <c r="TTY79" s="44"/>
      <c r="TTZ79" s="44"/>
      <c r="TUA79" s="44"/>
      <c r="TUB79" s="44"/>
      <c r="TUC79" s="44"/>
      <c r="TUD79" s="44"/>
      <c r="TUE79" s="44"/>
      <c r="TUF79" s="44"/>
      <c r="TUG79" s="44"/>
      <c r="TUH79" s="44"/>
      <c r="TUI79" s="44"/>
      <c r="TUJ79" s="44"/>
      <c r="TUK79" s="44"/>
      <c r="TUL79" s="44"/>
      <c r="TUM79" s="44"/>
      <c r="TUN79" s="44"/>
      <c r="TUO79" s="44"/>
      <c r="TUP79" s="44"/>
      <c r="TUQ79" s="44"/>
      <c r="TUR79" s="44"/>
      <c r="TUS79" s="44"/>
      <c r="TUT79" s="44"/>
      <c r="TUU79" s="44"/>
      <c r="TUV79" s="44"/>
      <c r="TUW79" s="44"/>
      <c r="TUX79" s="44"/>
      <c r="TUY79" s="44"/>
      <c r="TUZ79" s="44"/>
      <c r="TVA79" s="44"/>
      <c r="TVB79" s="44"/>
      <c r="TVC79" s="44"/>
      <c r="TVD79" s="44"/>
      <c r="TVE79" s="44"/>
      <c r="TVF79" s="44"/>
      <c r="TVG79" s="44"/>
      <c r="TVH79" s="44"/>
      <c r="TVI79" s="44"/>
      <c r="TVJ79" s="44"/>
      <c r="TVK79" s="44"/>
      <c r="TVL79" s="44"/>
      <c r="TVM79" s="44"/>
      <c r="TVN79" s="44"/>
      <c r="TVO79" s="44"/>
      <c r="TVP79" s="44"/>
      <c r="TVQ79" s="44"/>
      <c r="TVR79" s="44"/>
      <c r="TVS79" s="44"/>
      <c r="TVT79" s="44"/>
      <c r="TVU79" s="44"/>
      <c r="TVV79" s="44"/>
      <c r="TVW79" s="44"/>
      <c r="TVX79" s="44"/>
      <c r="TVY79" s="44"/>
      <c r="TVZ79" s="44"/>
      <c r="TWA79" s="44"/>
      <c r="TWB79" s="44"/>
      <c r="TWC79" s="44"/>
      <c r="TWD79" s="44"/>
      <c r="TWE79" s="44"/>
      <c r="TWF79" s="44"/>
      <c r="TWG79" s="44"/>
      <c r="TWH79" s="44"/>
      <c r="TWI79" s="44"/>
      <c r="TWJ79" s="44"/>
      <c r="TWK79" s="44"/>
      <c r="TWL79" s="44"/>
      <c r="TWM79" s="44"/>
      <c r="TWN79" s="44"/>
      <c r="TWO79" s="44"/>
      <c r="TWP79" s="44"/>
      <c r="TWQ79" s="44"/>
      <c r="TWR79" s="44"/>
      <c r="TWS79" s="44"/>
      <c r="TWT79" s="44"/>
      <c r="TWU79" s="44"/>
      <c r="TWV79" s="44"/>
      <c r="TWW79" s="44"/>
      <c r="TWX79" s="44"/>
      <c r="TWY79" s="44"/>
      <c r="TWZ79" s="44"/>
      <c r="TXA79" s="44"/>
      <c r="TXB79" s="44"/>
      <c r="TXC79" s="44"/>
      <c r="TXD79" s="44"/>
      <c r="TXE79" s="44"/>
      <c r="TXF79" s="44"/>
      <c r="TXG79" s="44"/>
      <c r="TXH79" s="44"/>
      <c r="TXI79" s="44"/>
      <c r="TXJ79" s="44"/>
      <c r="TXK79" s="44"/>
      <c r="TXL79" s="44"/>
      <c r="TXM79" s="44"/>
      <c r="TXN79" s="44"/>
      <c r="TXO79" s="44"/>
      <c r="TXP79" s="44"/>
      <c r="TXQ79" s="44"/>
      <c r="TXR79" s="44"/>
      <c r="TXS79" s="44"/>
      <c r="TXT79" s="44"/>
      <c r="TXU79" s="44"/>
      <c r="TXV79" s="44"/>
      <c r="TXW79" s="44"/>
      <c r="TXX79" s="44"/>
      <c r="TXY79" s="44"/>
      <c r="TXZ79" s="44"/>
      <c r="TYA79" s="44"/>
      <c r="TYB79" s="44"/>
      <c r="TYC79" s="44"/>
      <c r="TYD79" s="44"/>
      <c r="TYE79" s="44"/>
      <c r="TYF79" s="44"/>
      <c r="TYG79" s="44"/>
      <c r="TYH79" s="44"/>
      <c r="TYI79" s="44"/>
      <c r="TYJ79" s="44"/>
      <c r="TYK79" s="44"/>
      <c r="TYL79" s="44"/>
      <c r="TYM79" s="44"/>
      <c r="TYN79" s="44"/>
      <c r="TYO79" s="44"/>
      <c r="TYP79" s="44"/>
      <c r="TYQ79" s="44"/>
      <c r="TYR79" s="44"/>
      <c r="TYS79" s="44"/>
      <c r="TYT79" s="44"/>
      <c r="TYU79" s="44"/>
      <c r="TYV79" s="44"/>
      <c r="TYW79" s="44"/>
      <c r="TYX79" s="44"/>
      <c r="TYY79" s="44"/>
      <c r="TYZ79" s="44"/>
      <c r="TZA79" s="44"/>
      <c r="TZB79" s="44"/>
      <c r="TZC79" s="44"/>
      <c r="TZD79" s="44"/>
      <c r="TZE79" s="44"/>
      <c r="TZF79" s="44"/>
      <c r="TZG79" s="44"/>
      <c r="TZH79" s="44"/>
      <c r="TZI79" s="44"/>
      <c r="TZJ79" s="44"/>
      <c r="TZK79" s="44"/>
      <c r="TZL79" s="44"/>
      <c r="TZM79" s="44"/>
      <c r="TZN79" s="44"/>
      <c r="TZO79" s="44"/>
      <c r="TZP79" s="44"/>
      <c r="TZQ79" s="44"/>
      <c r="TZR79" s="44"/>
      <c r="TZS79" s="44"/>
      <c r="TZT79" s="44"/>
      <c r="TZU79" s="44"/>
      <c r="TZV79" s="44"/>
      <c r="TZW79" s="44"/>
      <c r="TZX79" s="44"/>
      <c r="TZY79" s="44"/>
      <c r="TZZ79" s="44"/>
      <c r="UAA79" s="44"/>
      <c r="UAB79" s="44"/>
      <c r="UAC79" s="44"/>
      <c r="UAD79" s="44"/>
      <c r="UAE79" s="44"/>
      <c r="UAF79" s="44"/>
      <c r="UAG79" s="44"/>
      <c r="UAH79" s="44"/>
      <c r="UAI79" s="44"/>
      <c r="UAJ79" s="44"/>
      <c r="UAK79" s="44"/>
      <c r="UAL79" s="44"/>
      <c r="UAM79" s="44"/>
      <c r="UAN79" s="44"/>
      <c r="UAO79" s="44"/>
      <c r="UAP79" s="44"/>
      <c r="UAQ79" s="44"/>
      <c r="UAR79" s="44"/>
      <c r="UAS79" s="44"/>
      <c r="UAT79" s="44"/>
      <c r="UAU79" s="44"/>
      <c r="UAV79" s="44"/>
      <c r="UAW79" s="44"/>
      <c r="UAX79" s="44"/>
      <c r="UAY79" s="44"/>
      <c r="UAZ79" s="44"/>
      <c r="UBA79" s="44"/>
      <c r="UBB79" s="44"/>
      <c r="UBC79" s="44"/>
      <c r="UBD79" s="44"/>
      <c r="UBE79" s="44"/>
      <c r="UBF79" s="44"/>
      <c r="UBG79" s="44"/>
      <c r="UBH79" s="44"/>
      <c r="UBI79" s="44"/>
      <c r="UBJ79" s="44"/>
      <c r="UBK79" s="44"/>
      <c r="UBL79" s="44"/>
      <c r="UBM79" s="44"/>
      <c r="UBN79" s="44"/>
      <c r="UBO79" s="44"/>
      <c r="UBP79" s="44"/>
      <c r="UBQ79" s="44"/>
      <c r="UBR79" s="44"/>
      <c r="UBS79" s="44"/>
      <c r="UBT79" s="44"/>
      <c r="UBU79" s="44"/>
      <c r="UBV79" s="44"/>
      <c r="UBW79" s="44"/>
      <c r="UBX79" s="44"/>
      <c r="UBY79" s="44"/>
      <c r="UBZ79" s="44"/>
      <c r="UCA79" s="44"/>
      <c r="UCB79" s="44"/>
      <c r="UCC79" s="44"/>
      <c r="UCD79" s="44"/>
      <c r="UCE79" s="44"/>
      <c r="UCF79" s="44"/>
      <c r="UCG79" s="44"/>
      <c r="UCH79" s="44"/>
      <c r="UCI79" s="44"/>
      <c r="UCJ79" s="44"/>
      <c r="UCK79" s="44"/>
      <c r="UCL79" s="44"/>
      <c r="UCM79" s="44"/>
      <c r="UCN79" s="44"/>
      <c r="UCO79" s="44"/>
      <c r="UCP79" s="44"/>
      <c r="UCQ79" s="44"/>
      <c r="UCR79" s="44"/>
      <c r="UCS79" s="44"/>
      <c r="UCT79" s="44"/>
      <c r="UCU79" s="44"/>
      <c r="UCV79" s="44"/>
      <c r="UCW79" s="44"/>
      <c r="UCX79" s="44"/>
      <c r="UCY79" s="44"/>
      <c r="UCZ79" s="44"/>
      <c r="UDA79" s="44"/>
      <c r="UDB79" s="44"/>
      <c r="UDC79" s="44"/>
      <c r="UDD79" s="44"/>
      <c r="UDE79" s="44"/>
      <c r="UDF79" s="44"/>
      <c r="UDG79" s="44"/>
      <c r="UDH79" s="44"/>
      <c r="UDI79" s="44"/>
      <c r="UDJ79" s="44"/>
      <c r="UDK79" s="44"/>
      <c r="UDL79" s="44"/>
      <c r="UDM79" s="44"/>
      <c r="UDN79" s="44"/>
      <c r="UDO79" s="44"/>
      <c r="UDP79" s="44"/>
      <c r="UDQ79" s="44"/>
      <c r="UDR79" s="44"/>
      <c r="UDS79" s="44"/>
      <c r="UDT79" s="44"/>
      <c r="UDU79" s="44"/>
      <c r="UDV79" s="44"/>
      <c r="UDW79" s="44"/>
      <c r="UDX79" s="44"/>
      <c r="UDY79" s="44"/>
      <c r="UDZ79" s="44"/>
      <c r="UEA79" s="44"/>
      <c r="UEB79" s="44"/>
      <c r="UEC79" s="44"/>
      <c r="UED79" s="44"/>
      <c r="UEE79" s="44"/>
      <c r="UEF79" s="44"/>
      <c r="UEG79" s="44"/>
      <c r="UEH79" s="44"/>
      <c r="UEI79" s="44"/>
      <c r="UEJ79" s="44"/>
      <c r="UEK79" s="44"/>
      <c r="UEL79" s="44"/>
      <c r="UEM79" s="44"/>
      <c r="UEN79" s="44"/>
      <c r="UEO79" s="44"/>
      <c r="UEP79" s="44"/>
      <c r="UEQ79" s="44"/>
      <c r="UER79" s="44"/>
      <c r="UES79" s="44"/>
      <c r="UET79" s="44"/>
      <c r="UEU79" s="44"/>
      <c r="UEV79" s="44"/>
      <c r="UEW79" s="44"/>
      <c r="UEX79" s="44"/>
      <c r="UEY79" s="44"/>
      <c r="UEZ79" s="44"/>
      <c r="UFA79" s="44"/>
      <c r="UFB79" s="44"/>
      <c r="UFC79" s="44"/>
      <c r="UFD79" s="44"/>
      <c r="UFE79" s="44"/>
      <c r="UFF79" s="44"/>
      <c r="UFG79" s="44"/>
      <c r="UFH79" s="44"/>
      <c r="UFI79" s="44"/>
      <c r="UFJ79" s="44"/>
      <c r="UFK79" s="44"/>
      <c r="UFL79" s="44"/>
      <c r="UFM79" s="44"/>
      <c r="UFN79" s="44"/>
      <c r="UFO79" s="44"/>
      <c r="UFP79" s="44"/>
      <c r="UFQ79" s="44"/>
      <c r="UFR79" s="44"/>
      <c r="UFS79" s="44"/>
      <c r="UFT79" s="44"/>
      <c r="UFU79" s="44"/>
      <c r="UFV79" s="44"/>
      <c r="UFW79" s="44"/>
      <c r="UFX79" s="44"/>
      <c r="UFY79" s="44"/>
      <c r="UFZ79" s="44"/>
      <c r="UGA79" s="44"/>
      <c r="UGB79" s="44"/>
      <c r="UGC79" s="44"/>
      <c r="UGD79" s="44"/>
      <c r="UGE79" s="44"/>
      <c r="UGF79" s="44"/>
      <c r="UGG79" s="44"/>
      <c r="UGH79" s="44"/>
      <c r="UGI79" s="44"/>
      <c r="UGJ79" s="44"/>
      <c r="UGK79" s="44"/>
      <c r="UGL79" s="44"/>
      <c r="UGM79" s="44"/>
      <c r="UGN79" s="44"/>
      <c r="UGO79" s="44"/>
      <c r="UGP79" s="44"/>
      <c r="UGQ79" s="44"/>
      <c r="UGR79" s="44"/>
      <c r="UGS79" s="44"/>
      <c r="UGT79" s="44"/>
      <c r="UGU79" s="44"/>
      <c r="UGV79" s="44"/>
      <c r="UGW79" s="44"/>
      <c r="UGX79" s="44"/>
      <c r="UGY79" s="44"/>
      <c r="UGZ79" s="44"/>
      <c r="UHA79" s="44"/>
      <c r="UHB79" s="44"/>
      <c r="UHC79" s="44"/>
      <c r="UHD79" s="44"/>
      <c r="UHE79" s="44"/>
      <c r="UHF79" s="44"/>
      <c r="UHG79" s="44"/>
      <c r="UHH79" s="44"/>
      <c r="UHI79" s="44"/>
      <c r="UHJ79" s="44"/>
      <c r="UHK79" s="44"/>
      <c r="UHL79" s="44"/>
      <c r="UHM79" s="44"/>
      <c r="UHN79" s="44"/>
      <c r="UHO79" s="44"/>
      <c r="UHP79" s="44"/>
      <c r="UHQ79" s="44"/>
      <c r="UHR79" s="44"/>
      <c r="UHS79" s="44"/>
      <c r="UHT79" s="44"/>
      <c r="UHU79" s="44"/>
      <c r="UHV79" s="44"/>
      <c r="UHW79" s="44"/>
      <c r="UHX79" s="44"/>
      <c r="UHY79" s="44"/>
      <c r="UHZ79" s="44"/>
      <c r="UIA79" s="44"/>
      <c r="UIB79" s="44"/>
      <c r="UIC79" s="44"/>
      <c r="UID79" s="44"/>
      <c r="UIE79" s="44"/>
      <c r="UIF79" s="44"/>
      <c r="UIG79" s="44"/>
      <c r="UIH79" s="44"/>
      <c r="UII79" s="44"/>
      <c r="UIJ79" s="44"/>
      <c r="UIK79" s="44"/>
      <c r="UIL79" s="44"/>
      <c r="UIM79" s="44"/>
      <c r="UIN79" s="44"/>
      <c r="UIO79" s="44"/>
      <c r="UIP79" s="44"/>
      <c r="UIQ79" s="44"/>
      <c r="UIR79" s="44"/>
      <c r="UIS79" s="44"/>
      <c r="UIT79" s="44"/>
      <c r="UIU79" s="44"/>
      <c r="UIV79" s="44"/>
      <c r="UIW79" s="44"/>
      <c r="UIX79" s="44"/>
      <c r="UIY79" s="44"/>
      <c r="UIZ79" s="44"/>
      <c r="UJA79" s="44"/>
      <c r="UJB79" s="44"/>
      <c r="UJC79" s="44"/>
      <c r="UJD79" s="44"/>
      <c r="UJE79" s="44"/>
      <c r="UJF79" s="44"/>
      <c r="UJG79" s="44"/>
      <c r="UJH79" s="44"/>
      <c r="UJI79" s="44"/>
      <c r="UJJ79" s="44"/>
      <c r="UJK79" s="44"/>
      <c r="UJL79" s="44"/>
      <c r="UJM79" s="44"/>
      <c r="UJN79" s="44"/>
      <c r="UJO79" s="44"/>
      <c r="UJP79" s="44"/>
      <c r="UJQ79" s="44"/>
      <c r="UJR79" s="44"/>
      <c r="UJS79" s="44"/>
      <c r="UJT79" s="44"/>
      <c r="UJU79" s="44"/>
      <c r="UJV79" s="44"/>
      <c r="UJW79" s="44"/>
      <c r="UJX79" s="44"/>
      <c r="UJY79" s="44"/>
      <c r="UJZ79" s="44"/>
      <c r="UKA79" s="44"/>
      <c r="UKB79" s="44"/>
      <c r="UKC79" s="44"/>
      <c r="UKD79" s="44"/>
      <c r="UKE79" s="44"/>
      <c r="UKF79" s="44"/>
      <c r="UKG79" s="44"/>
      <c r="UKH79" s="44"/>
      <c r="UKI79" s="44"/>
      <c r="UKJ79" s="44"/>
      <c r="UKK79" s="44"/>
      <c r="UKL79" s="44"/>
      <c r="UKM79" s="44"/>
      <c r="UKN79" s="44"/>
      <c r="UKO79" s="44"/>
      <c r="UKP79" s="44"/>
      <c r="UKQ79" s="44"/>
      <c r="UKR79" s="44"/>
      <c r="UKS79" s="44"/>
      <c r="UKT79" s="44"/>
      <c r="UKU79" s="44"/>
      <c r="UKV79" s="44"/>
      <c r="UKW79" s="44"/>
      <c r="UKX79" s="44"/>
      <c r="UKY79" s="44"/>
      <c r="UKZ79" s="44"/>
      <c r="ULA79" s="44"/>
      <c r="ULB79" s="44"/>
      <c r="ULC79" s="44"/>
      <c r="ULD79" s="44"/>
      <c r="ULE79" s="44"/>
      <c r="ULF79" s="44"/>
      <c r="ULG79" s="44"/>
      <c r="ULH79" s="44"/>
      <c r="ULI79" s="44"/>
      <c r="ULJ79" s="44"/>
      <c r="ULK79" s="44"/>
      <c r="ULL79" s="44"/>
      <c r="ULM79" s="44"/>
      <c r="ULN79" s="44"/>
      <c r="ULO79" s="44"/>
      <c r="ULP79" s="44"/>
      <c r="ULQ79" s="44"/>
      <c r="ULR79" s="44"/>
      <c r="ULS79" s="44"/>
      <c r="ULT79" s="44"/>
      <c r="ULU79" s="44"/>
      <c r="ULV79" s="44"/>
      <c r="ULW79" s="44"/>
      <c r="ULX79" s="44"/>
      <c r="ULY79" s="44"/>
      <c r="ULZ79" s="44"/>
      <c r="UMA79" s="44"/>
      <c r="UMB79" s="44"/>
      <c r="UMC79" s="44"/>
      <c r="UMD79" s="44"/>
      <c r="UME79" s="44"/>
      <c r="UMF79" s="44"/>
      <c r="UMG79" s="44"/>
      <c r="UMH79" s="44"/>
      <c r="UMI79" s="44"/>
      <c r="UMJ79" s="44"/>
      <c r="UMK79" s="44"/>
      <c r="UML79" s="44"/>
      <c r="UMM79" s="44"/>
      <c r="UMN79" s="44"/>
      <c r="UMO79" s="44"/>
      <c r="UMP79" s="44"/>
      <c r="UMQ79" s="44"/>
      <c r="UMR79" s="44"/>
      <c r="UMS79" s="44"/>
      <c r="UMT79" s="44"/>
      <c r="UMU79" s="44"/>
      <c r="UMV79" s="44"/>
      <c r="UMW79" s="44"/>
      <c r="UMX79" s="44"/>
      <c r="UMY79" s="44"/>
      <c r="UMZ79" s="44"/>
      <c r="UNA79" s="44"/>
      <c r="UNB79" s="44"/>
      <c r="UNC79" s="44"/>
      <c r="UND79" s="44"/>
      <c r="UNE79" s="44"/>
      <c r="UNF79" s="44"/>
      <c r="UNG79" s="44"/>
      <c r="UNH79" s="44"/>
      <c r="UNI79" s="44"/>
      <c r="UNJ79" s="44"/>
      <c r="UNK79" s="44"/>
      <c r="UNL79" s="44"/>
      <c r="UNM79" s="44"/>
      <c r="UNN79" s="44"/>
      <c r="UNO79" s="44"/>
      <c r="UNP79" s="44"/>
      <c r="UNQ79" s="44"/>
      <c r="UNR79" s="44"/>
      <c r="UNS79" s="44"/>
      <c r="UNT79" s="44"/>
      <c r="UNU79" s="44"/>
      <c r="UNV79" s="44"/>
      <c r="UNW79" s="44"/>
      <c r="UNX79" s="44"/>
      <c r="UNY79" s="44"/>
      <c r="UNZ79" s="44"/>
      <c r="UOA79" s="44"/>
      <c r="UOB79" s="44"/>
      <c r="UOC79" s="44"/>
      <c r="UOD79" s="44"/>
      <c r="UOE79" s="44"/>
      <c r="UOF79" s="44"/>
      <c r="UOG79" s="44"/>
      <c r="UOH79" s="44"/>
      <c r="UOI79" s="44"/>
      <c r="UOJ79" s="44"/>
      <c r="UOK79" s="44"/>
      <c r="UOL79" s="44"/>
      <c r="UOM79" s="44"/>
      <c r="UON79" s="44"/>
      <c r="UOO79" s="44"/>
      <c r="UOP79" s="44"/>
      <c r="UOQ79" s="44"/>
      <c r="UOR79" s="44"/>
      <c r="UOS79" s="44"/>
      <c r="UOT79" s="44"/>
      <c r="UOU79" s="44"/>
      <c r="UOV79" s="44"/>
      <c r="UOW79" s="44"/>
      <c r="UOX79" s="44"/>
      <c r="UOY79" s="44"/>
      <c r="UOZ79" s="44"/>
      <c r="UPA79" s="44"/>
      <c r="UPB79" s="44"/>
      <c r="UPC79" s="44"/>
      <c r="UPD79" s="44"/>
      <c r="UPE79" s="44"/>
      <c r="UPF79" s="44"/>
      <c r="UPG79" s="44"/>
      <c r="UPH79" s="44"/>
      <c r="UPI79" s="44"/>
      <c r="UPJ79" s="44"/>
      <c r="UPK79" s="44"/>
      <c r="UPL79" s="44"/>
      <c r="UPM79" s="44"/>
      <c r="UPN79" s="44"/>
      <c r="UPO79" s="44"/>
      <c r="UPP79" s="44"/>
      <c r="UPQ79" s="44"/>
      <c r="UPR79" s="44"/>
      <c r="UPS79" s="44"/>
      <c r="UPT79" s="44"/>
      <c r="UPU79" s="44"/>
      <c r="UPV79" s="44"/>
      <c r="UPW79" s="44"/>
      <c r="UPX79" s="44"/>
      <c r="UPY79" s="44"/>
      <c r="UPZ79" s="44"/>
      <c r="UQA79" s="44"/>
      <c r="UQB79" s="44"/>
      <c r="UQC79" s="44"/>
      <c r="UQD79" s="44"/>
      <c r="UQE79" s="44"/>
      <c r="UQF79" s="44"/>
      <c r="UQG79" s="44"/>
      <c r="UQH79" s="44"/>
      <c r="UQI79" s="44"/>
      <c r="UQJ79" s="44"/>
      <c r="UQK79" s="44"/>
      <c r="UQL79" s="44"/>
      <c r="UQM79" s="44"/>
      <c r="UQN79" s="44"/>
      <c r="UQO79" s="44"/>
      <c r="UQP79" s="44"/>
      <c r="UQQ79" s="44"/>
      <c r="UQR79" s="44"/>
      <c r="UQS79" s="44"/>
      <c r="UQT79" s="44"/>
      <c r="UQU79" s="44"/>
      <c r="UQV79" s="44"/>
      <c r="UQW79" s="44"/>
      <c r="UQX79" s="44"/>
      <c r="UQY79" s="44"/>
      <c r="UQZ79" s="44"/>
      <c r="URA79" s="44"/>
      <c r="URB79" s="44"/>
      <c r="URC79" s="44"/>
      <c r="URD79" s="44"/>
      <c r="URE79" s="44"/>
      <c r="URF79" s="44"/>
      <c r="URG79" s="44"/>
      <c r="URH79" s="44"/>
      <c r="URI79" s="44"/>
      <c r="URJ79" s="44"/>
      <c r="URK79" s="44"/>
      <c r="URL79" s="44"/>
      <c r="URM79" s="44"/>
      <c r="URN79" s="44"/>
      <c r="URO79" s="44"/>
      <c r="URP79" s="44"/>
      <c r="URQ79" s="44"/>
      <c r="URR79" s="44"/>
      <c r="URS79" s="44"/>
      <c r="URT79" s="44"/>
      <c r="URU79" s="44"/>
      <c r="URV79" s="44"/>
      <c r="URW79" s="44"/>
      <c r="URX79" s="44"/>
      <c r="URY79" s="44"/>
      <c r="URZ79" s="44"/>
      <c r="USA79" s="44"/>
      <c r="USB79" s="44"/>
      <c r="USC79" s="44"/>
      <c r="USD79" s="44"/>
      <c r="USE79" s="44"/>
      <c r="USF79" s="44"/>
      <c r="USG79" s="44"/>
      <c r="USH79" s="44"/>
      <c r="USI79" s="44"/>
      <c r="USJ79" s="44"/>
      <c r="USK79" s="44"/>
      <c r="USL79" s="44"/>
      <c r="USM79" s="44"/>
      <c r="USN79" s="44"/>
      <c r="USO79" s="44"/>
      <c r="USP79" s="44"/>
      <c r="USQ79" s="44"/>
      <c r="USR79" s="44"/>
      <c r="USS79" s="44"/>
      <c r="UST79" s="44"/>
      <c r="USU79" s="44"/>
      <c r="USV79" s="44"/>
      <c r="USW79" s="44"/>
      <c r="USX79" s="44"/>
      <c r="USY79" s="44"/>
      <c r="USZ79" s="44"/>
      <c r="UTA79" s="44"/>
      <c r="UTB79" s="44"/>
      <c r="UTC79" s="44"/>
      <c r="UTD79" s="44"/>
      <c r="UTE79" s="44"/>
      <c r="UTF79" s="44"/>
      <c r="UTG79" s="44"/>
      <c r="UTH79" s="44"/>
      <c r="UTI79" s="44"/>
      <c r="UTJ79" s="44"/>
      <c r="UTK79" s="44"/>
      <c r="UTL79" s="44"/>
      <c r="UTM79" s="44"/>
      <c r="UTN79" s="44"/>
      <c r="UTO79" s="44"/>
      <c r="UTP79" s="44"/>
      <c r="UTQ79" s="44"/>
      <c r="UTR79" s="44"/>
      <c r="UTS79" s="44"/>
      <c r="UTT79" s="44"/>
      <c r="UTU79" s="44"/>
      <c r="UTV79" s="44"/>
      <c r="UTW79" s="44"/>
      <c r="UTX79" s="44"/>
      <c r="UTY79" s="44"/>
      <c r="UTZ79" s="44"/>
      <c r="UUA79" s="44"/>
      <c r="UUB79" s="44"/>
      <c r="UUC79" s="44"/>
      <c r="UUD79" s="44"/>
      <c r="UUE79" s="44"/>
      <c r="UUF79" s="44"/>
      <c r="UUG79" s="44"/>
      <c r="UUH79" s="44"/>
      <c r="UUI79" s="44"/>
      <c r="UUJ79" s="44"/>
      <c r="UUK79" s="44"/>
      <c r="UUL79" s="44"/>
      <c r="UUM79" s="44"/>
      <c r="UUN79" s="44"/>
      <c r="UUO79" s="44"/>
      <c r="UUP79" s="44"/>
      <c r="UUQ79" s="44"/>
      <c r="UUR79" s="44"/>
      <c r="UUS79" s="44"/>
      <c r="UUT79" s="44"/>
      <c r="UUU79" s="44"/>
      <c r="UUV79" s="44"/>
      <c r="UUW79" s="44"/>
      <c r="UUX79" s="44"/>
      <c r="UUY79" s="44"/>
      <c r="UUZ79" s="44"/>
      <c r="UVA79" s="44"/>
      <c r="UVB79" s="44"/>
      <c r="UVC79" s="44"/>
      <c r="UVD79" s="44"/>
      <c r="UVE79" s="44"/>
      <c r="UVF79" s="44"/>
      <c r="UVG79" s="44"/>
      <c r="UVH79" s="44"/>
      <c r="UVI79" s="44"/>
      <c r="UVJ79" s="44"/>
      <c r="UVK79" s="44"/>
      <c r="UVL79" s="44"/>
      <c r="UVM79" s="44"/>
      <c r="UVN79" s="44"/>
      <c r="UVO79" s="44"/>
      <c r="UVP79" s="44"/>
      <c r="UVQ79" s="44"/>
      <c r="UVR79" s="44"/>
      <c r="UVS79" s="44"/>
      <c r="UVT79" s="44"/>
      <c r="UVU79" s="44"/>
      <c r="UVV79" s="44"/>
      <c r="UVW79" s="44"/>
      <c r="UVX79" s="44"/>
      <c r="UVY79" s="44"/>
      <c r="UVZ79" s="44"/>
      <c r="UWA79" s="44"/>
      <c r="UWB79" s="44"/>
      <c r="UWC79" s="44"/>
      <c r="UWD79" s="44"/>
      <c r="UWE79" s="44"/>
      <c r="UWF79" s="44"/>
      <c r="UWG79" s="44"/>
      <c r="UWH79" s="44"/>
      <c r="UWI79" s="44"/>
      <c r="UWJ79" s="44"/>
      <c r="UWK79" s="44"/>
      <c r="UWL79" s="44"/>
      <c r="UWM79" s="44"/>
      <c r="UWN79" s="44"/>
      <c r="UWO79" s="44"/>
      <c r="UWP79" s="44"/>
      <c r="UWQ79" s="44"/>
      <c r="UWR79" s="44"/>
      <c r="UWS79" s="44"/>
      <c r="UWT79" s="44"/>
      <c r="UWU79" s="44"/>
      <c r="UWV79" s="44"/>
      <c r="UWW79" s="44"/>
      <c r="UWX79" s="44"/>
      <c r="UWY79" s="44"/>
      <c r="UWZ79" s="44"/>
      <c r="UXA79" s="44"/>
      <c r="UXB79" s="44"/>
      <c r="UXC79" s="44"/>
      <c r="UXD79" s="44"/>
      <c r="UXE79" s="44"/>
      <c r="UXF79" s="44"/>
      <c r="UXG79" s="44"/>
      <c r="UXH79" s="44"/>
      <c r="UXI79" s="44"/>
      <c r="UXJ79" s="44"/>
      <c r="UXK79" s="44"/>
      <c r="UXL79" s="44"/>
      <c r="UXM79" s="44"/>
      <c r="UXN79" s="44"/>
      <c r="UXO79" s="44"/>
      <c r="UXP79" s="44"/>
      <c r="UXQ79" s="44"/>
      <c r="UXR79" s="44"/>
      <c r="UXS79" s="44"/>
      <c r="UXT79" s="44"/>
      <c r="UXU79" s="44"/>
      <c r="UXV79" s="44"/>
      <c r="UXW79" s="44"/>
      <c r="UXX79" s="44"/>
      <c r="UXY79" s="44"/>
      <c r="UXZ79" s="44"/>
      <c r="UYA79" s="44"/>
      <c r="UYB79" s="44"/>
      <c r="UYC79" s="44"/>
      <c r="UYD79" s="44"/>
      <c r="UYE79" s="44"/>
      <c r="UYF79" s="44"/>
      <c r="UYG79" s="44"/>
      <c r="UYH79" s="44"/>
      <c r="UYI79" s="44"/>
      <c r="UYJ79" s="44"/>
      <c r="UYK79" s="44"/>
      <c r="UYL79" s="44"/>
      <c r="UYM79" s="44"/>
      <c r="UYN79" s="44"/>
      <c r="UYO79" s="44"/>
      <c r="UYP79" s="44"/>
      <c r="UYQ79" s="44"/>
      <c r="UYR79" s="44"/>
      <c r="UYS79" s="44"/>
      <c r="UYT79" s="44"/>
      <c r="UYU79" s="44"/>
      <c r="UYV79" s="44"/>
      <c r="UYW79" s="44"/>
      <c r="UYX79" s="44"/>
      <c r="UYY79" s="44"/>
      <c r="UYZ79" s="44"/>
      <c r="UZA79" s="44"/>
      <c r="UZB79" s="44"/>
      <c r="UZC79" s="44"/>
      <c r="UZD79" s="44"/>
      <c r="UZE79" s="44"/>
      <c r="UZF79" s="44"/>
      <c r="UZG79" s="44"/>
      <c r="UZH79" s="44"/>
      <c r="UZI79" s="44"/>
      <c r="UZJ79" s="44"/>
      <c r="UZK79" s="44"/>
      <c r="UZL79" s="44"/>
      <c r="UZM79" s="44"/>
      <c r="UZN79" s="44"/>
      <c r="UZO79" s="44"/>
      <c r="UZP79" s="44"/>
      <c r="UZQ79" s="44"/>
      <c r="UZR79" s="44"/>
      <c r="UZS79" s="44"/>
      <c r="UZT79" s="44"/>
      <c r="UZU79" s="44"/>
      <c r="UZV79" s="44"/>
      <c r="UZW79" s="44"/>
      <c r="UZX79" s="44"/>
      <c r="UZY79" s="44"/>
      <c r="UZZ79" s="44"/>
      <c r="VAA79" s="44"/>
      <c r="VAB79" s="44"/>
      <c r="VAC79" s="44"/>
      <c r="VAD79" s="44"/>
      <c r="VAE79" s="44"/>
      <c r="VAF79" s="44"/>
      <c r="VAG79" s="44"/>
      <c r="VAH79" s="44"/>
      <c r="VAI79" s="44"/>
      <c r="VAJ79" s="44"/>
      <c r="VAK79" s="44"/>
      <c r="VAL79" s="44"/>
      <c r="VAM79" s="44"/>
      <c r="VAN79" s="44"/>
      <c r="VAO79" s="44"/>
      <c r="VAP79" s="44"/>
      <c r="VAQ79" s="44"/>
      <c r="VAR79" s="44"/>
      <c r="VAS79" s="44"/>
      <c r="VAT79" s="44"/>
      <c r="VAU79" s="44"/>
      <c r="VAV79" s="44"/>
      <c r="VAW79" s="44"/>
      <c r="VAX79" s="44"/>
      <c r="VAY79" s="44"/>
      <c r="VAZ79" s="44"/>
      <c r="VBA79" s="44"/>
      <c r="VBB79" s="44"/>
      <c r="VBC79" s="44"/>
      <c r="VBD79" s="44"/>
      <c r="VBE79" s="44"/>
      <c r="VBF79" s="44"/>
      <c r="VBG79" s="44"/>
      <c r="VBH79" s="44"/>
      <c r="VBI79" s="44"/>
      <c r="VBJ79" s="44"/>
      <c r="VBK79" s="44"/>
      <c r="VBL79" s="44"/>
      <c r="VBM79" s="44"/>
      <c r="VBN79" s="44"/>
      <c r="VBO79" s="44"/>
      <c r="VBP79" s="44"/>
      <c r="VBQ79" s="44"/>
      <c r="VBR79" s="44"/>
      <c r="VBS79" s="44"/>
      <c r="VBT79" s="44"/>
      <c r="VBU79" s="44"/>
      <c r="VBV79" s="44"/>
      <c r="VBW79" s="44"/>
      <c r="VBX79" s="44"/>
      <c r="VBY79" s="44"/>
      <c r="VBZ79" s="44"/>
      <c r="VCA79" s="44"/>
      <c r="VCB79" s="44"/>
      <c r="VCC79" s="44"/>
      <c r="VCD79" s="44"/>
      <c r="VCE79" s="44"/>
      <c r="VCF79" s="44"/>
      <c r="VCG79" s="44"/>
      <c r="VCH79" s="44"/>
      <c r="VCI79" s="44"/>
      <c r="VCJ79" s="44"/>
      <c r="VCK79" s="44"/>
      <c r="VCL79" s="44"/>
      <c r="VCM79" s="44"/>
      <c r="VCN79" s="44"/>
      <c r="VCO79" s="44"/>
      <c r="VCP79" s="44"/>
      <c r="VCQ79" s="44"/>
      <c r="VCR79" s="44"/>
      <c r="VCS79" s="44"/>
      <c r="VCT79" s="44"/>
      <c r="VCU79" s="44"/>
      <c r="VCV79" s="44"/>
      <c r="VCW79" s="44"/>
      <c r="VCX79" s="44"/>
      <c r="VCY79" s="44"/>
      <c r="VCZ79" s="44"/>
      <c r="VDA79" s="44"/>
      <c r="VDB79" s="44"/>
      <c r="VDC79" s="44"/>
      <c r="VDD79" s="44"/>
      <c r="VDE79" s="44"/>
      <c r="VDF79" s="44"/>
      <c r="VDG79" s="44"/>
      <c r="VDH79" s="44"/>
      <c r="VDI79" s="44"/>
      <c r="VDJ79" s="44"/>
      <c r="VDK79" s="44"/>
      <c r="VDL79" s="44"/>
      <c r="VDM79" s="44"/>
      <c r="VDN79" s="44"/>
      <c r="VDO79" s="44"/>
      <c r="VDP79" s="44"/>
      <c r="VDQ79" s="44"/>
      <c r="VDR79" s="44"/>
      <c r="VDS79" s="44"/>
      <c r="VDT79" s="44"/>
      <c r="VDU79" s="44"/>
      <c r="VDV79" s="44"/>
      <c r="VDW79" s="44"/>
      <c r="VDX79" s="44"/>
      <c r="VDY79" s="44"/>
      <c r="VDZ79" s="44"/>
      <c r="VEA79" s="44"/>
      <c r="VEB79" s="44"/>
      <c r="VEC79" s="44"/>
      <c r="VED79" s="44"/>
      <c r="VEE79" s="44"/>
      <c r="VEF79" s="44"/>
      <c r="VEG79" s="44"/>
      <c r="VEH79" s="44"/>
      <c r="VEI79" s="44"/>
      <c r="VEJ79" s="44"/>
      <c r="VEK79" s="44"/>
      <c r="VEL79" s="44"/>
      <c r="VEM79" s="44"/>
      <c r="VEN79" s="44"/>
      <c r="VEO79" s="44"/>
      <c r="VEP79" s="44"/>
      <c r="VEQ79" s="44"/>
      <c r="VER79" s="44"/>
      <c r="VES79" s="44"/>
      <c r="VET79" s="44"/>
      <c r="VEU79" s="44"/>
      <c r="VEV79" s="44"/>
      <c r="VEW79" s="44"/>
      <c r="VEX79" s="44"/>
      <c r="VEY79" s="44"/>
      <c r="VEZ79" s="44"/>
      <c r="VFA79" s="44"/>
      <c r="VFB79" s="44"/>
      <c r="VFC79" s="44"/>
      <c r="VFD79" s="44"/>
      <c r="VFE79" s="44"/>
      <c r="VFF79" s="44"/>
      <c r="VFG79" s="44"/>
      <c r="VFH79" s="44"/>
      <c r="VFI79" s="44"/>
      <c r="VFJ79" s="44"/>
      <c r="VFK79" s="44"/>
      <c r="VFL79" s="44"/>
      <c r="VFM79" s="44"/>
      <c r="VFN79" s="44"/>
      <c r="VFO79" s="44"/>
      <c r="VFP79" s="44"/>
      <c r="VFQ79" s="44"/>
      <c r="VFR79" s="44"/>
      <c r="VFS79" s="44"/>
      <c r="VFT79" s="44"/>
      <c r="VFU79" s="44"/>
      <c r="VFV79" s="44"/>
      <c r="VFW79" s="44"/>
      <c r="VFX79" s="44"/>
      <c r="VFY79" s="44"/>
      <c r="VFZ79" s="44"/>
      <c r="VGA79" s="44"/>
      <c r="VGB79" s="44"/>
      <c r="VGC79" s="44"/>
      <c r="VGD79" s="44"/>
      <c r="VGE79" s="44"/>
      <c r="VGF79" s="44"/>
      <c r="VGG79" s="44"/>
      <c r="VGH79" s="44"/>
      <c r="VGI79" s="44"/>
      <c r="VGJ79" s="44"/>
      <c r="VGK79" s="44"/>
      <c r="VGL79" s="44"/>
      <c r="VGM79" s="44"/>
      <c r="VGN79" s="44"/>
      <c r="VGO79" s="44"/>
      <c r="VGP79" s="44"/>
      <c r="VGQ79" s="44"/>
      <c r="VGR79" s="44"/>
      <c r="VGS79" s="44"/>
      <c r="VGT79" s="44"/>
      <c r="VGU79" s="44"/>
      <c r="VGV79" s="44"/>
      <c r="VGW79" s="44"/>
      <c r="VGX79" s="44"/>
      <c r="VGY79" s="44"/>
      <c r="VGZ79" s="44"/>
      <c r="VHA79" s="44"/>
      <c r="VHB79" s="44"/>
      <c r="VHC79" s="44"/>
      <c r="VHD79" s="44"/>
      <c r="VHE79" s="44"/>
      <c r="VHF79" s="44"/>
      <c r="VHG79" s="44"/>
      <c r="VHH79" s="44"/>
      <c r="VHI79" s="44"/>
      <c r="VHJ79" s="44"/>
      <c r="VHK79" s="44"/>
      <c r="VHL79" s="44"/>
      <c r="VHM79" s="44"/>
      <c r="VHN79" s="44"/>
      <c r="VHO79" s="44"/>
      <c r="VHP79" s="44"/>
      <c r="VHQ79" s="44"/>
      <c r="VHR79" s="44"/>
      <c r="VHS79" s="44"/>
      <c r="VHT79" s="44"/>
      <c r="VHU79" s="44"/>
      <c r="VHV79" s="44"/>
      <c r="VHW79" s="44"/>
      <c r="VHX79" s="44"/>
      <c r="VHY79" s="44"/>
      <c r="VHZ79" s="44"/>
      <c r="VIA79" s="44"/>
      <c r="VIB79" s="44"/>
      <c r="VIC79" s="44"/>
      <c r="VID79" s="44"/>
      <c r="VIE79" s="44"/>
      <c r="VIF79" s="44"/>
      <c r="VIG79" s="44"/>
      <c r="VIH79" s="44"/>
      <c r="VII79" s="44"/>
      <c r="VIJ79" s="44"/>
      <c r="VIK79" s="44"/>
      <c r="VIL79" s="44"/>
      <c r="VIM79" s="44"/>
      <c r="VIN79" s="44"/>
      <c r="VIO79" s="44"/>
      <c r="VIP79" s="44"/>
      <c r="VIQ79" s="44"/>
      <c r="VIR79" s="44"/>
      <c r="VIS79" s="44"/>
      <c r="VIT79" s="44"/>
      <c r="VIU79" s="44"/>
      <c r="VIV79" s="44"/>
      <c r="VIW79" s="44"/>
      <c r="VIX79" s="44"/>
      <c r="VIY79" s="44"/>
      <c r="VIZ79" s="44"/>
      <c r="VJA79" s="44"/>
      <c r="VJB79" s="44"/>
      <c r="VJC79" s="44"/>
      <c r="VJD79" s="44"/>
      <c r="VJE79" s="44"/>
      <c r="VJF79" s="44"/>
      <c r="VJG79" s="44"/>
      <c r="VJH79" s="44"/>
      <c r="VJI79" s="44"/>
      <c r="VJJ79" s="44"/>
      <c r="VJK79" s="44"/>
      <c r="VJL79" s="44"/>
      <c r="VJM79" s="44"/>
      <c r="VJN79" s="44"/>
      <c r="VJO79" s="44"/>
      <c r="VJP79" s="44"/>
      <c r="VJQ79" s="44"/>
      <c r="VJR79" s="44"/>
      <c r="VJS79" s="44"/>
      <c r="VJT79" s="44"/>
      <c r="VJU79" s="44"/>
      <c r="VJV79" s="44"/>
      <c r="VJW79" s="44"/>
      <c r="VJX79" s="44"/>
      <c r="VJY79" s="44"/>
      <c r="VJZ79" s="44"/>
      <c r="VKA79" s="44"/>
      <c r="VKB79" s="44"/>
      <c r="VKC79" s="44"/>
      <c r="VKD79" s="44"/>
      <c r="VKE79" s="44"/>
      <c r="VKF79" s="44"/>
      <c r="VKG79" s="44"/>
      <c r="VKH79" s="44"/>
      <c r="VKI79" s="44"/>
      <c r="VKJ79" s="44"/>
      <c r="VKK79" s="44"/>
      <c r="VKL79" s="44"/>
      <c r="VKM79" s="44"/>
      <c r="VKN79" s="44"/>
      <c r="VKO79" s="44"/>
      <c r="VKP79" s="44"/>
      <c r="VKQ79" s="44"/>
      <c r="VKR79" s="44"/>
      <c r="VKS79" s="44"/>
      <c r="VKT79" s="44"/>
      <c r="VKU79" s="44"/>
      <c r="VKV79" s="44"/>
      <c r="VKW79" s="44"/>
      <c r="VKX79" s="44"/>
      <c r="VKY79" s="44"/>
      <c r="VKZ79" s="44"/>
      <c r="VLA79" s="44"/>
      <c r="VLB79" s="44"/>
      <c r="VLC79" s="44"/>
      <c r="VLD79" s="44"/>
      <c r="VLE79" s="44"/>
      <c r="VLF79" s="44"/>
      <c r="VLG79" s="44"/>
      <c r="VLH79" s="44"/>
      <c r="VLI79" s="44"/>
      <c r="VLJ79" s="44"/>
      <c r="VLK79" s="44"/>
      <c r="VLL79" s="44"/>
      <c r="VLM79" s="44"/>
      <c r="VLN79" s="44"/>
      <c r="VLO79" s="44"/>
      <c r="VLP79" s="44"/>
      <c r="VLQ79" s="44"/>
      <c r="VLR79" s="44"/>
      <c r="VLS79" s="44"/>
      <c r="VLT79" s="44"/>
      <c r="VLU79" s="44"/>
      <c r="VLV79" s="44"/>
      <c r="VLW79" s="44"/>
      <c r="VLX79" s="44"/>
      <c r="VLY79" s="44"/>
      <c r="VLZ79" s="44"/>
      <c r="VMA79" s="44"/>
      <c r="VMB79" s="44"/>
      <c r="VMC79" s="44"/>
      <c r="VMD79" s="44"/>
      <c r="VME79" s="44"/>
      <c r="VMF79" s="44"/>
      <c r="VMG79" s="44"/>
      <c r="VMH79" s="44"/>
      <c r="VMI79" s="44"/>
      <c r="VMJ79" s="44"/>
      <c r="VMK79" s="44"/>
      <c r="VML79" s="44"/>
      <c r="VMM79" s="44"/>
      <c r="VMN79" s="44"/>
      <c r="VMO79" s="44"/>
      <c r="VMP79" s="44"/>
      <c r="VMQ79" s="44"/>
      <c r="VMR79" s="44"/>
      <c r="VMS79" s="44"/>
      <c r="VMT79" s="44"/>
      <c r="VMU79" s="44"/>
      <c r="VMV79" s="44"/>
      <c r="VMW79" s="44"/>
      <c r="VMX79" s="44"/>
      <c r="VMY79" s="44"/>
      <c r="VMZ79" s="44"/>
      <c r="VNA79" s="44"/>
      <c r="VNB79" s="44"/>
      <c r="VNC79" s="44"/>
      <c r="VND79" s="44"/>
      <c r="VNE79" s="44"/>
      <c r="VNF79" s="44"/>
      <c r="VNG79" s="44"/>
      <c r="VNH79" s="44"/>
      <c r="VNI79" s="44"/>
      <c r="VNJ79" s="44"/>
      <c r="VNK79" s="44"/>
      <c r="VNL79" s="44"/>
      <c r="VNM79" s="44"/>
      <c r="VNN79" s="44"/>
      <c r="VNO79" s="44"/>
      <c r="VNP79" s="44"/>
      <c r="VNQ79" s="44"/>
      <c r="VNR79" s="44"/>
      <c r="VNS79" s="44"/>
      <c r="VNT79" s="44"/>
      <c r="VNU79" s="44"/>
      <c r="VNV79" s="44"/>
      <c r="VNW79" s="44"/>
      <c r="VNX79" s="44"/>
      <c r="VNY79" s="44"/>
      <c r="VNZ79" s="44"/>
      <c r="VOA79" s="44"/>
      <c r="VOB79" s="44"/>
      <c r="VOC79" s="44"/>
      <c r="VOD79" s="44"/>
      <c r="VOE79" s="44"/>
      <c r="VOF79" s="44"/>
      <c r="VOG79" s="44"/>
      <c r="VOH79" s="44"/>
      <c r="VOI79" s="44"/>
      <c r="VOJ79" s="44"/>
      <c r="VOK79" s="44"/>
      <c r="VOL79" s="44"/>
      <c r="VOM79" s="44"/>
      <c r="VON79" s="44"/>
      <c r="VOO79" s="44"/>
      <c r="VOP79" s="44"/>
      <c r="VOQ79" s="44"/>
      <c r="VOR79" s="44"/>
      <c r="VOS79" s="44"/>
      <c r="VOT79" s="44"/>
      <c r="VOU79" s="44"/>
      <c r="VOV79" s="44"/>
      <c r="VOW79" s="44"/>
      <c r="VOX79" s="44"/>
      <c r="VOY79" s="44"/>
      <c r="VOZ79" s="44"/>
      <c r="VPA79" s="44"/>
      <c r="VPB79" s="44"/>
      <c r="VPC79" s="44"/>
      <c r="VPD79" s="44"/>
      <c r="VPE79" s="44"/>
      <c r="VPF79" s="44"/>
      <c r="VPG79" s="44"/>
      <c r="VPH79" s="44"/>
      <c r="VPI79" s="44"/>
      <c r="VPJ79" s="44"/>
      <c r="VPK79" s="44"/>
      <c r="VPL79" s="44"/>
      <c r="VPM79" s="44"/>
      <c r="VPN79" s="44"/>
      <c r="VPO79" s="44"/>
      <c r="VPP79" s="44"/>
      <c r="VPQ79" s="44"/>
      <c r="VPR79" s="44"/>
      <c r="VPS79" s="44"/>
      <c r="VPT79" s="44"/>
      <c r="VPU79" s="44"/>
      <c r="VPV79" s="44"/>
      <c r="VPW79" s="44"/>
      <c r="VPX79" s="44"/>
      <c r="VPY79" s="44"/>
      <c r="VPZ79" s="44"/>
      <c r="VQA79" s="44"/>
      <c r="VQB79" s="44"/>
      <c r="VQC79" s="44"/>
      <c r="VQD79" s="44"/>
      <c r="VQE79" s="44"/>
      <c r="VQF79" s="44"/>
      <c r="VQG79" s="44"/>
      <c r="VQH79" s="44"/>
      <c r="VQI79" s="44"/>
      <c r="VQJ79" s="44"/>
      <c r="VQK79" s="44"/>
      <c r="VQL79" s="44"/>
      <c r="VQM79" s="44"/>
      <c r="VQN79" s="44"/>
      <c r="VQO79" s="44"/>
      <c r="VQP79" s="44"/>
      <c r="VQQ79" s="44"/>
      <c r="VQR79" s="44"/>
      <c r="VQS79" s="44"/>
      <c r="VQT79" s="44"/>
      <c r="VQU79" s="44"/>
      <c r="VQV79" s="44"/>
      <c r="VQW79" s="44"/>
      <c r="VQX79" s="44"/>
      <c r="VQY79" s="44"/>
      <c r="VQZ79" s="44"/>
      <c r="VRA79" s="44"/>
      <c r="VRB79" s="44"/>
      <c r="VRC79" s="44"/>
      <c r="VRD79" s="44"/>
      <c r="VRE79" s="44"/>
      <c r="VRF79" s="44"/>
      <c r="VRG79" s="44"/>
      <c r="VRH79" s="44"/>
      <c r="VRI79" s="44"/>
      <c r="VRJ79" s="44"/>
      <c r="VRK79" s="44"/>
      <c r="VRL79" s="44"/>
      <c r="VRM79" s="44"/>
      <c r="VRN79" s="44"/>
      <c r="VRO79" s="44"/>
      <c r="VRP79" s="44"/>
      <c r="VRQ79" s="44"/>
      <c r="VRR79" s="44"/>
      <c r="VRS79" s="44"/>
      <c r="VRT79" s="44"/>
      <c r="VRU79" s="44"/>
      <c r="VRV79" s="44"/>
      <c r="VRW79" s="44"/>
      <c r="VRX79" s="44"/>
      <c r="VRY79" s="44"/>
      <c r="VRZ79" s="44"/>
      <c r="VSA79" s="44"/>
      <c r="VSB79" s="44"/>
      <c r="VSC79" s="44"/>
      <c r="VSD79" s="44"/>
      <c r="VSE79" s="44"/>
      <c r="VSF79" s="44"/>
      <c r="VSG79" s="44"/>
      <c r="VSH79" s="44"/>
      <c r="VSI79" s="44"/>
      <c r="VSJ79" s="44"/>
      <c r="VSK79" s="44"/>
      <c r="VSL79" s="44"/>
      <c r="VSM79" s="44"/>
      <c r="VSN79" s="44"/>
      <c r="VSO79" s="44"/>
      <c r="VSP79" s="44"/>
      <c r="VSQ79" s="44"/>
      <c r="VSR79" s="44"/>
      <c r="VSS79" s="44"/>
      <c r="VST79" s="44"/>
      <c r="VSU79" s="44"/>
      <c r="VSV79" s="44"/>
      <c r="VSW79" s="44"/>
      <c r="VSX79" s="44"/>
      <c r="VSY79" s="44"/>
      <c r="VSZ79" s="44"/>
      <c r="VTA79" s="44"/>
      <c r="VTB79" s="44"/>
      <c r="VTC79" s="44"/>
      <c r="VTD79" s="44"/>
      <c r="VTE79" s="44"/>
      <c r="VTF79" s="44"/>
      <c r="VTG79" s="44"/>
      <c r="VTH79" s="44"/>
      <c r="VTI79" s="44"/>
      <c r="VTJ79" s="44"/>
      <c r="VTK79" s="44"/>
      <c r="VTL79" s="44"/>
      <c r="VTM79" s="44"/>
      <c r="VTN79" s="44"/>
      <c r="VTO79" s="44"/>
      <c r="VTP79" s="44"/>
      <c r="VTQ79" s="44"/>
      <c r="VTR79" s="44"/>
      <c r="VTS79" s="44"/>
      <c r="VTT79" s="44"/>
      <c r="VTU79" s="44"/>
      <c r="VTV79" s="44"/>
      <c r="VTW79" s="44"/>
      <c r="VTX79" s="44"/>
      <c r="VTY79" s="44"/>
      <c r="VTZ79" s="44"/>
      <c r="VUA79" s="44"/>
      <c r="VUB79" s="44"/>
      <c r="VUC79" s="44"/>
      <c r="VUD79" s="44"/>
      <c r="VUE79" s="44"/>
      <c r="VUF79" s="44"/>
      <c r="VUG79" s="44"/>
      <c r="VUH79" s="44"/>
      <c r="VUI79" s="44"/>
      <c r="VUJ79" s="44"/>
      <c r="VUK79" s="44"/>
      <c r="VUL79" s="44"/>
      <c r="VUM79" s="44"/>
      <c r="VUN79" s="44"/>
      <c r="VUO79" s="44"/>
      <c r="VUP79" s="44"/>
      <c r="VUQ79" s="44"/>
      <c r="VUR79" s="44"/>
      <c r="VUS79" s="44"/>
      <c r="VUT79" s="44"/>
      <c r="VUU79" s="44"/>
      <c r="VUV79" s="44"/>
      <c r="VUW79" s="44"/>
      <c r="VUX79" s="44"/>
      <c r="VUY79" s="44"/>
      <c r="VUZ79" s="44"/>
      <c r="VVA79" s="44"/>
      <c r="VVB79" s="44"/>
      <c r="VVC79" s="44"/>
      <c r="VVD79" s="44"/>
      <c r="VVE79" s="44"/>
      <c r="VVF79" s="44"/>
      <c r="VVG79" s="44"/>
      <c r="VVH79" s="44"/>
      <c r="VVI79" s="44"/>
      <c r="VVJ79" s="44"/>
      <c r="VVK79" s="44"/>
      <c r="VVL79" s="44"/>
      <c r="VVM79" s="44"/>
      <c r="VVN79" s="44"/>
      <c r="VVO79" s="44"/>
      <c r="VVP79" s="44"/>
      <c r="VVQ79" s="44"/>
      <c r="VVR79" s="44"/>
      <c r="VVS79" s="44"/>
      <c r="VVT79" s="44"/>
      <c r="VVU79" s="44"/>
      <c r="VVV79" s="44"/>
      <c r="VVW79" s="44"/>
      <c r="VVX79" s="44"/>
      <c r="VVY79" s="44"/>
      <c r="VVZ79" s="44"/>
      <c r="VWA79" s="44"/>
      <c r="VWB79" s="44"/>
      <c r="VWC79" s="44"/>
      <c r="VWD79" s="44"/>
      <c r="VWE79" s="44"/>
      <c r="VWF79" s="44"/>
      <c r="VWG79" s="44"/>
      <c r="VWH79" s="44"/>
      <c r="VWI79" s="44"/>
      <c r="VWJ79" s="44"/>
      <c r="VWK79" s="44"/>
      <c r="VWL79" s="44"/>
      <c r="VWM79" s="44"/>
      <c r="VWN79" s="44"/>
      <c r="VWO79" s="44"/>
      <c r="VWP79" s="44"/>
      <c r="VWQ79" s="44"/>
      <c r="VWR79" s="44"/>
      <c r="VWS79" s="44"/>
      <c r="VWT79" s="44"/>
      <c r="VWU79" s="44"/>
      <c r="VWV79" s="44"/>
      <c r="VWW79" s="44"/>
      <c r="VWX79" s="44"/>
      <c r="VWY79" s="44"/>
      <c r="VWZ79" s="44"/>
      <c r="VXA79" s="44"/>
      <c r="VXB79" s="44"/>
      <c r="VXC79" s="44"/>
      <c r="VXD79" s="44"/>
      <c r="VXE79" s="44"/>
      <c r="VXF79" s="44"/>
      <c r="VXG79" s="44"/>
      <c r="VXH79" s="44"/>
      <c r="VXI79" s="44"/>
      <c r="VXJ79" s="44"/>
      <c r="VXK79" s="44"/>
      <c r="VXL79" s="44"/>
      <c r="VXM79" s="44"/>
      <c r="VXN79" s="44"/>
      <c r="VXO79" s="44"/>
      <c r="VXP79" s="44"/>
      <c r="VXQ79" s="44"/>
      <c r="VXR79" s="44"/>
      <c r="VXS79" s="44"/>
      <c r="VXT79" s="44"/>
      <c r="VXU79" s="44"/>
      <c r="VXV79" s="44"/>
      <c r="VXW79" s="44"/>
      <c r="VXX79" s="44"/>
      <c r="VXY79" s="44"/>
      <c r="VXZ79" s="44"/>
      <c r="VYA79" s="44"/>
      <c r="VYB79" s="44"/>
      <c r="VYC79" s="44"/>
      <c r="VYD79" s="44"/>
      <c r="VYE79" s="44"/>
      <c r="VYF79" s="44"/>
      <c r="VYG79" s="44"/>
      <c r="VYH79" s="44"/>
      <c r="VYI79" s="44"/>
      <c r="VYJ79" s="44"/>
      <c r="VYK79" s="44"/>
      <c r="VYL79" s="44"/>
      <c r="VYM79" s="44"/>
      <c r="VYN79" s="44"/>
      <c r="VYO79" s="44"/>
      <c r="VYP79" s="44"/>
      <c r="VYQ79" s="44"/>
      <c r="VYR79" s="44"/>
      <c r="VYS79" s="44"/>
      <c r="VYT79" s="44"/>
      <c r="VYU79" s="44"/>
      <c r="VYV79" s="44"/>
      <c r="VYW79" s="44"/>
      <c r="VYX79" s="44"/>
      <c r="VYY79" s="44"/>
      <c r="VYZ79" s="44"/>
      <c r="VZA79" s="44"/>
      <c r="VZB79" s="44"/>
      <c r="VZC79" s="44"/>
      <c r="VZD79" s="44"/>
      <c r="VZE79" s="44"/>
      <c r="VZF79" s="44"/>
      <c r="VZG79" s="44"/>
      <c r="VZH79" s="44"/>
      <c r="VZI79" s="44"/>
      <c r="VZJ79" s="44"/>
      <c r="VZK79" s="44"/>
      <c r="VZL79" s="44"/>
      <c r="VZM79" s="44"/>
      <c r="VZN79" s="44"/>
      <c r="VZO79" s="44"/>
      <c r="VZP79" s="44"/>
      <c r="VZQ79" s="44"/>
      <c r="VZR79" s="44"/>
      <c r="VZS79" s="44"/>
      <c r="VZT79" s="44"/>
      <c r="VZU79" s="44"/>
      <c r="VZV79" s="44"/>
      <c r="VZW79" s="44"/>
      <c r="VZX79" s="44"/>
      <c r="VZY79" s="44"/>
      <c r="VZZ79" s="44"/>
      <c r="WAA79" s="44"/>
      <c r="WAB79" s="44"/>
      <c r="WAC79" s="44"/>
      <c r="WAD79" s="44"/>
      <c r="WAE79" s="44"/>
      <c r="WAF79" s="44"/>
      <c r="WAG79" s="44"/>
      <c r="WAH79" s="44"/>
      <c r="WAI79" s="44"/>
      <c r="WAJ79" s="44"/>
      <c r="WAK79" s="44"/>
      <c r="WAL79" s="44"/>
      <c r="WAM79" s="44"/>
      <c r="WAN79" s="44"/>
      <c r="WAO79" s="44"/>
      <c r="WAP79" s="44"/>
      <c r="WAQ79" s="44"/>
      <c r="WAR79" s="44"/>
      <c r="WAS79" s="44"/>
      <c r="WAT79" s="44"/>
      <c r="WAU79" s="44"/>
      <c r="WAV79" s="44"/>
      <c r="WAW79" s="44"/>
      <c r="WAX79" s="44"/>
      <c r="WAY79" s="44"/>
      <c r="WAZ79" s="44"/>
      <c r="WBA79" s="44"/>
      <c r="WBB79" s="44"/>
      <c r="WBC79" s="44"/>
      <c r="WBD79" s="44"/>
      <c r="WBE79" s="44"/>
      <c r="WBF79" s="44"/>
      <c r="WBG79" s="44"/>
      <c r="WBH79" s="44"/>
      <c r="WBI79" s="44"/>
      <c r="WBJ79" s="44"/>
      <c r="WBK79" s="44"/>
      <c r="WBL79" s="44"/>
      <c r="WBM79" s="44"/>
      <c r="WBN79" s="44"/>
      <c r="WBO79" s="44"/>
      <c r="WBP79" s="44"/>
      <c r="WBQ79" s="44"/>
      <c r="WBR79" s="44"/>
      <c r="WBS79" s="44"/>
      <c r="WBT79" s="44"/>
      <c r="WBU79" s="44"/>
      <c r="WBV79" s="44"/>
      <c r="WBW79" s="44"/>
      <c r="WBX79" s="44"/>
      <c r="WBY79" s="44"/>
      <c r="WBZ79" s="44"/>
      <c r="WCA79" s="44"/>
      <c r="WCB79" s="44"/>
      <c r="WCC79" s="44"/>
      <c r="WCD79" s="44"/>
      <c r="WCE79" s="44"/>
      <c r="WCF79" s="44"/>
      <c r="WCG79" s="44"/>
      <c r="WCH79" s="44"/>
      <c r="WCI79" s="44"/>
      <c r="WCJ79" s="44"/>
      <c r="WCK79" s="44"/>
      <c r="WCL79" s="44"/>
      <c r="WCM79" s="44"/>
      <c r="WCN79" s="44"/>
      <c r="WCO79" s="44"/>
      <c r="WCP79" s="44"/>
      <c r="WCQ79" s="44"/>
      <c r="WCR79" s="44"/>
      <c r="WCS79" s="44"/>
      <c r="WCT79" s="44"/>
      <c r="WCU79" s="44"/>
      <c r="WCV79" s="44"/>
      <c r="WCW79" s="44"/>
      <c r="WCX79" s="44"/>
      <c r="WCY79" s="44"/>
      <c r="WCZ79" s="44"/>
      <c r="WDA79" s="44"/>
      <c r="WDB79" s="44"/>
      <c r="WDC79" s="44"/>
      <c r="WDD79" s="44"/>
      <c r="WDE79" s="44"/>
      <c r="WDF79" s="44"/>
      <c r="WDG79" s="44"/>
      <c r="WDH79" s="44"/>
      <c r="WDI79" s="44"/>
      <c r="WDJ79" s="44"/>
      <c r="WDK79" s="44"/>
      <c r="WDL79" s="44"/>
      <c r="WDM79" s="44"/>
      <c r="WDN79" s="44"/>
      <c r="WDO79" s="44"/>
      <c r="WDP79" s="44"/>
      <c r="WDQ79" s="44"/>
      <c r="WDR79" s="44"/>
      <c r="WDS79" s="44"/>
      <c r="WDT79" s="44"/>
      <c r="WDU79" s="44"/>
      <c r="WDV79" s="44"/>
      <c r="WDW79" s="44"/>
      <c r="WDX79" s="44"/>
      <c r="WDY79" s="44"/>
      <c r="WDZ79" s="44"/>
      <c r="WEA79" s="44"/>
      <c r="WEB79" s="44"/>
      <c r="WEC79" s="44"/>
      <c r="WED79" s="44"/>
      <c r="WEE79" s="44"/>
      <c r="WEF79" s="44"/>
      <c r="WEG79" s="44"/>
      <c r="WEH79" s="44"/>
      <c r="WEI79" s="44"/>
      <c r="WEJ79" s="44"/>
      <c r="WEK79" s="44"/>
      <c r="WEL79" s="44"/>
      <c r="WEM79" s="44"/>
      <c r="WEN79" s="44"/>
      <c r="WEO79" s="44"/>
      <c r="WEP79" s="44"/>
      <c r="WEQ79" s="44"/>
      <c r="WER79" s="44"/>
      <c r="WES79" s="44"/>
      <c r="WET79" s="44"/>
      <c r="WEU79" s="44"/>
      <c r="WEV79" s="44"/>
      <c r="WEW79" s="44"/>
      <c r="WEX79" s="44"/>
      <c r="WEY79" s="44"/>
      <c r="WEZ79" s="44"/>
      <c r="WFA79" s="44"/>
      <c r="WFB79" s="44"/>
      <c r="WFC79" s="44"/>
      <c r="WFD79" s="44"/>
      <c r="WFE79" s="44"/>
      <c r="WFF79" s="44"/>
      <c r="WFG79" s="44"/>
      <c r="WFH79" s="44"/>
      <c r="WFI79" s="44"/>
      <c r="WFJ79" s="44"/>
      <c r="WFK79" s="44"/>
      <c r="WFL79" s="44"/>
      <c r="WFM79" s="44"/>
      <c r="WFN79" s="44"/>
      <c r="WFO79" s="44"/>
      <c r="WFP79" s="44"/>
      <c r="WFQ79" s="44"/>
      <c r="WFR79" s="44"/>
      <c r="WFS79" s="44"/>
      <c r="WFT79" s="44"/>
      <c r="WFU79" s="44"/>
      <c r="WFV79" s="44"/>
      <c r="WFW79" s="44"/>
      <c r="WFX79" s="44"/>
      <c r="WFY79" s="44"/>
      <c r="WFZ79" s="44"/>
      <c r="WGA79" s="44"/>
      <c r="WGB79" s="44"/>
      <c r="WGC79" s="44"/>
      <c r="WGD79" s="44"/>
      <c r="WGE79" s="44"/>
      <c r="WGF79" s="44"/>
      <c r="WGG79" s="44"/>
      <c r="WGH79" s="44"/>
      <c r="WGI79" s="44"/>
      <c r="WGJ79" s="44"/>
      <c r="WGK79" s="44"/>
      <c r="WGL79" s="44"/>
      <c r="WGM79" s="44"/>
      <c r="WGN79" s="44"/>
      <c r="WGO79" s="44"/>
      <c r="WGP79" s="44"/>
      <c r="WGQ79" s="44"/>
      <c r="WGR79" s="44"/>
      <c r="WGS79" s="44"/>
      <c r="WGT79" s="44"/>
      <c r="WGU79" s="44"/>
      <c r="WGV79" s="44"/>
      <c r="WGW79" s="44"/>
      <c r="WGX79" s="44"/>
      <c r="WGY79" s="44"/>
      <c r="WGZ79" s="44"/>
      <c r="WHA79" s="44"/>
      <c r="WHB79" s="44"/>
      <c r="WHC79" s="44"/>
      <c r="WHD79" s="44"/>
      <c r="WHE79" s="44"/>
      <c r="WHF79" s="44"/>
      <c r="WHG79" s="44"/>
      <c r="WHH79" s="44"/>
      <c r="WHI79" s="44"/>
      <c r="WHJ79" s="44"/>
      <c r="WHK79" s="44"/>
      <c r="WHL79" s="44"/>
      <c r="WHM79" s="44"/>
      <c r="WHN79" s="44"/>
      <c r="WHO79" s="44"/>
      <c r="WHP79" s="44"/>
      <c r="WHQ79" s="44"/>
      <c r="WHR79" s="44"/>
      <c r="WHS79" s="44"/>
      <c r="WHT79" s="44"/>
      <c r="WHU79" s="44"/>
      <c r="WHV79" s="44"/>
      <c r="WHW79" s="44"/>
      <c r="WHX79" s="44"/>
      <c r="WHY79" s="44"/>
      <c r="WHZ79" s="44"/>
      <c r="WIA79" s="44"/>
      <c r="WIB79" s="44"/>
      <c r="WIC79" s="44"/>
      <c r="WID79" s="44"/>
      <c r="WIE79" s="44"/>
      <c r="WIF79" s="44"/>
      <c r="WIG79" s="44"/>
      <c r="WIH79" s="44"/>
      <c r="WII79" s="44"/>
      <c r="WIJ79" s="44"/>
      <c r="WIK79" s="44"/>
      <c r="WIL79" s="44"/>
      <c r="WIM79" s="44"/>
      <c r="WIN79" s="44"/>
      <c r="WIO79" s="44"/>
      <c r="WIP79" s="44"/>
      <c r="WIQ79" s="44"/>
      <c r="WIR79" s="44"/>
      <c r="WIS79" s="44"/>
      <c r="WIT79" s="44"/>
      <c r="WIU79" s="44"/>
      <c r="WIV79" s="44"/>
      <c r="WIW79" s="44"/>
      <c r="WIX79" s="44"/>
      <c r="WIY79" s="44"/>
      <c r="WIZ79" s="44"/>
      <c r="WJA79" s="44"/>
      <c r="WJB79" s="44"/>
      <c r="WJC79" s="44"/>
      <c r="WJD79" s="44"/>
      <c r="WJE79" s="44"/>
      <c r="WJF79" s="44"/>
      <c r="WJG79" s="44"/>
      <c r="WJH79" s="44"/>
      <c r="WJI79" s="44"/>
      <c r="WJJ79" s="44"/>
      <c r="WJK79" s="44"/>
      <c r="WJL79" s="44"/>
      <c r="WJM79" s="44"/>
      <c r="WJN79" s="44"/>
      <c r="WJO79" s="44"/>
      <c r="WJP79" s="44"/>
      <c r="WJQ79" s="44"/>
      <c r="WJR79" s="44"/>
      <c r="WJS79" s="44"/>
      <c r="WJT79" s="44"/>
      <c r="WJU79" s="44"/>
      <c r="WJV79" s="44"/>
      <c r="WJW79" s="44"/>
      <c r="WJX79" s="44"/>
      <c r="WJY79" s="44"/>
      <c r="WJZ79" s="44"/>
      <c r="WKA79" s="44"/>
      <c r="WKB79" s="44"/>
      <c r="WKC79" s="44"/>
      <c r="WKD79" s="44"/>
      <c r="WKE79" s="44"/>
      <c r="WKF79" s="44"/>
      <c r="WKG79" s="44"/>
      <c r="WKH79" s="44"/>
      <c r="WKI79" s="44"/>
      <c r="WKJ79" s="44"/>
      <c r="WKK79" s="44"/>
      <c r="WKL79" s="44"/>
      <c r="WKM79" s="44"/>
      <c r="WKN79" s="44"/>
      <c r="WKO79" s="44"/>
      <c r="WKP79" s="44"/>
      <c r="WKQ79" s="44"/>
      <c r="WKR79" s="44"/>
      <c r="WKS79" s="44"/>
      <c r="WKT79" s="44"/>
      <c r="WKU79" s="44"/>
      <c r="WKV79" s="44"/>
      <c r="WKW79" s="44"/>
      <c r="WKX79" s="44"/>
      <c r="WKY79" s="44"/>
      <c r="WKZ79" s="44"/>
      <c r="WLA79" s="44"/>
      <c r="WLB79" s="44"/>
      <c r="WLC79" s="44"/>
      <c r="WLD79" s="44"/>
      <c r="WLE79" s="44"/>
      <c r="WLF79" s="44"/>
      <c r="WLG79" s="44"/>
      <c r="WLH79" s="44"/>
      <c r="WLI79" s="44"/>
      <c r="WLJ79" s="44"/>
      <c r="WLK79" s="44"/>
      <c r="WLL79" s="44"/>
      <c r="WLM79" s="44"/>
      <c r="WLN79" s="44"/>
      <c r="WLO79" s="44"/>
      <c r="WLP79" s="44"/>
      <c r="WLQ79" s="44"/>
      <c r="WLR79" s="44"/>
      <c r="WLS79" s="44"/>
      <c r="WLT79" s="44"/>
      <c r="WLU79" s="44"/>
      <c r="WLV79" s="44"/>
      <c r="WLW79" s="44"/>
      <c r="WLX79" s="44"/>
      <c r="WLY79" s="44"/>
      <c r="WLZ79" s="44"/>
      <c r="WMA79" s="44"/>
      <c r="WMB79" s="44"/>
      <c r="WMC79" s="44"/>
      <c r="WMD79" s="44"/>
      <c r="WME79" s="44"/>
      <c r="WMF79" s="44"/>
      <c r="WMG79" s="44"/>
      <c r="WMH79" s="44"/>
      <c r="WMI79" s="44"/>
      <c r="WMJ79" s="44"/>
      <c r="WMK79" s="44"/>
      <c r="WML79" s="44"/>
      <c r="WMM79" s="44"/>
      <c r="WMN79" s="44"/>
      <c r="WMO79" s="44"/>
      <c r="WMP79" s="44"/>
      <c r="WMQ79" s="44"/>
      <c r="WMR79" s="44"/>
      <c r="WMS79" s="44"/>
      <c r="WMT79" s="44"/>
      <c r="WMU79" s="44"/>
      <c r="WMV79" s="44"/>
      <c r="WMW79" s="44"/>
      <c r="WMX79" s="44"/>
      <c r="WMY79" s="44"/>
      <c r="WMZ79" s="44"/>
      <c r="WNA79" s="44"/>
      <c r="WNB79" s="44"/>
      <c r="WNC79" s="44"/>
      <c r="WND79" s="44"/>
      <c r="WNE79" s="44"/>
      <c r="WNF79" s="44"/>
      <c r="WNG79" s="44"/>
      <c r="WNH79" s="44"/>
      <c r="WNI79" s="44"/>
      <c r="WNJ79" s="44"/>
      <c r="WNK79" s="44"/>
      <c r="WNL79" s="44"/>
      <c r="WNM79" s="44"/>
      <c r="WNN79" s="44"/>
      <c r="WNO79" s="44"/>
      <c r="WNP79" s="44"/>
      <c r="WNQ79" s="44"/>
      <c r="WNR79" s="44"/>
      <c r="WNS79" s="44"/>
      <c r="WNT79" s="44"/>
      <c r="WNU79" s="44"/>
      <c r="WNV79" s="44"/>
      <c r="WNW79" s="44"/>
      <c r="WNX79" s="44"/>
      <c r="WNY79" s="44"/>
      <c r="WNZ79" s="44"/>
      <c r="WOA79" s="44"/>
      <c r="WOB79" s="44"/>
      <c r="WOC79" s="44"/>
      <c r="WOD79" s="44"/>
      <c r="WOE79" s="44"/>
      <c r="WOF79" s="44"/>
      <c r="WOG79" s="44"/>
      <c r="WOH79" s="44"/>
      <c r="WOI79" s="44"/>
      <c r="WOJ79" s="44"/>
      <c r="WOK79" s="44"/>
      <c r="WOL79" s="44"/>
      <c r="WOM79" s="44"/>
      <c r="WON79" s="44"/>
      <c r="WOO79" s="44"/>
      <c r="WOP79" s="44"/>
      <c r="WOQ79" s="44"/>
      <c r="WOR79" s="44"/>
      <c r="WOS79" s="44"/>
      <c r="WOT79" s="44"/>
      <c r="WOU79" s="44"/>
      <c r="WOV79" s="44"/>
      <c r="WOW79" s="44"/>
      <c r="WOX79" s="44"/>
      <c r="WOY79" s="44"/>
      <c r="WOZ79" s="44"/>
      <c r="WPA79" s="44"/>
      <c r="WPB79" s="44"/>
      <c r="WPC79" s="44"/>
      <c r="WPD79" s="44"/>
      <c r="WPE79" s="44"/>
      <c r="WPF79" s="44"/>
      <c r="WPG79" s="44"/>
      <c r="WPH79" s="44"/>
      <c r="WPI79" s="44"/>
      <c r="WPJ79" s="44"/>
      <c r="WPK79" s="44"/>
      <c r="WPL79" s="44"/>
      <c r="WPM79" s="44"/>
      <c r="WPN79" s="44"/>
      <c r="WPO79" s="44"/>
      <c r="WPP79" s="44"/>
      <c r="WPQ79" s="44"/>
      <c r="WPR79" s="44"/>
      <c r="WPS79" s="44"/>
      <c r="WPT79" s="44"/>
      <c r="WPU79" s="44"/>
      <c r="WPV79" s="44"/>
      <c r="WPW79" s="44"/>
      <c r="WPX79" s="44"/>
      <c r="WPY79" s="44"/>
      <c r="WPZ79" s="44"/>
      <c r="WQA79" s="44"/>
      <c r="WQB79" s="44"/>
      <c r="WQC79" s="44"/>
      <c r="WQD79" s="44"/>
      <c r="WQE79" s="44"/>
      <c r="WQF79" s="44"/>
      <c r="WQG79" s="44"/>
      <c r="WQH79" s="44"/>
      <c r="WQI79" s="44"/>
      <c r="WQJ79" s="44"/>
      <c r="WQK79" s="44"/>
      <c r="WQL79" s="44"/>
      <c r="WQM79" s="44"/>
      <c r="WQN79" s="44"/>
      <c r="WQO79" s="44"/>
      <c r="WQP79" s="44"/>
      <c r="WQQ79" s="44"/>
      <c r="WQR79" s="44"/>
      <c r="WQS79" s="44"/>
      <c r="WQT79" s="44"/>
      <c r="WQU79" s="44"/>
      <c r="WQV79" s="44"/>
      <c r="WQW79" s="44"/>
      <c r="WQX79" s="44"/>
      <c r="WQY79" s="44"/>
      <c r="WQZ79" s="44"/>
      <c r="WRA79" s="44"/>
      <c r="WRB79" s="44"/>
      <c r="WRC79" s="44"/>
      <c r="WRD79" s="44"/>
      <c r="WRE79" s="44"/>
      <c r="WRF79" s="44"/>
      <c r="WRG79" s="44"/>
      <c r="WRH79" s="44"/>
      <c r="WRI79" s="44"/>
      <c r="WRJ79" s="44"/>
      <c r="WRK79" s="44"/>
      <c r="WRL79" s="44"/>
      <c r="WRM79" s="44"/>
      <c r="WRN79" s="44"/>
      <c r="WRO79" s="44"/>
      <c r="WRP79" s="44"/>
      <c r="WRQ79" s="44"/>
      <c r="WRR79" s="44"/>
      <c r="WRS79" s="44"/>
      <c r="WRT79" s="44"/>
      <c r="WRU79" s="44"/>
      <c r="WRV79" s="44"/>
      <c r="WRW79" s="44"/>
      <c r="WRX79" s="44"/>
      <c r="WRY79" s="44"/>
      <c r="WRZ79" s="44"/>
      <c r="WSA79" s="44"/>
      <c r="WSB79" s="44"/>
      <c r="WSC79" s="44"/>
      <c r="WSD79" s="44"/>
      <c r="WSE79" s="44"/>
      <c r="WSF79" s="44"/>
      <c r="WSG79" s="44"/>
      <c r="WSH79" s="44"/>
      <c r="WSI79" s="44"/>
      <c r="WSJ79" s="44"/>
      <c r="WSK79" s="44"/>
      <c r="WSL79" s="44"/>
      <c r="WSM79" s="44"/>
      <c r="WSN79" s="44"/>
      <c r="WSO79" s="44"/>
      <c r="WSP79" s="44"/>
      <c r="WSQ79" s="44"/>
      <c r="WSR79" s="44"/>
      <c r="WSS79" s="44"/>
      <c r="WST79" s="44"/>
      <c r="WSU79" s="44"/>
      <c r="WSV79" s="44"/>
      <c r="WSW79" s="44"/>
      <c r="WSX79" s="44"/>
      <c r="WSY79" s="44"/>
      <c r="WSZ79" s="44"/>
      <c r="WTA79" s="44"/>
      <c r="WTB79" s="44"/>
      <c r="WTC79" s="44"/>
      <c r="WTD79" s="44"/>
      <c r="WTE79" s="44"/>
      <c r="WTF79" s="44"/>
      <c r="WTG79" s="44"/>
      <c r="WTH79" s="44"/>
      <c r="WTI79" s="44"/>
      <c r="WTJ79" s="44"/>
      <c r="WTK79" s="44"/>
      <c r="WTL79" s="44"/>
      <c r="WTM79" s="44"/>
      <c r="WTN79" s="44"/>
      <c r="WTO79" s="44"/>
      <c r="WTP79" s="44"/>
      <c r="WTQ79" s="44"/>
      <c r="WTR79" s="44"/>
      <c r="WTS79" s="44"/>
      <c r="WTT79" s="44"/>
      <c r="WTU79" s="44"/>
      <c r="WTV79" s="44"/>
      <c r="WTW79" s="44"/>
      <c r="WTX79" s="44"/>
      <c r="WTY79" s="44"/>
      <c r="WTZ79" s="44"/>
      <c r="WUA79" s="44"/>
      <c r="WUB79" s="44"/>
      <c r="WUC79" s="44"/>
      <c r="WUD79" s="44"/>
      <c r="WUE79" s="44"/>
      <c r="WUF79" s="44"/>
      <c r="WUG79" s="44"/>
      <c r="WUH79" s="44"/>
      <c r="WUI79" s="44"/>
      <c r="WUJ79" s="44"/>
      <c r="WUK79" s="44"/>
      <c r="WUL79" s="44"/>
      <c r="WUM79" s="44"/>
      <c r="WUN79" s="44"/>
      <c r="WUO79" s="44"/>
      <c r="WUP79" s="44"/>
      <c r="WUQ79" s="44"/>
      <c r="WUR79" s="44"/>
      <c r="WUS79" s="44"/>
      <c r="WUT79" s="44"/>
      <c r="WUU79" s="44"/>
      <c r="WUV79" s="44"/>
      <c r="WUW79" s="44"/>
      <c r="WUX79" s="44"/>
      <c r="WUY79" s="44"/>
      <c r="WUZ79" s="44"/>
      <c r="WVA79" s="44"/>
      <c r="WVB79" s="44"/>
      <c r="WVC79" s="44"/>
      <c r="WVD79" s="44"/>
      <c r="WVE79" s="44"/>
      <c r="WVF79" s="44"/>
      <c r="WVG79" s="44"/>
      <c r="WVH79" s="44"/>
      <c r="WVI79" s="44"/>
      <c r="WVJ79" s="44"/>
      <c r="WVK79" s="44"/>
      <c r="WVL79" s="44"/>
      <c r="WVM79" s="44"/>
      <c r="WVN79" s="44"/>
      <c r="WVO79" s="44"/>
      <c r="WVP79" s="44"/>
      <c r="WVQ79" s="44"/>
      <c r="WVR79" s="44"/>
      <c r="WVS79" s="44"/>
      <c r="WVT79" s="44"/>
      <c r="WVU79" s="44"/>
      <c r="WVV79" s="44"/>
      <c r="WVW79" s="44"/>
      <c r="WVX79" s="44"/>
      <c r="WVY79" s="44"/>
      <c r="WVZ79" s="44"/>
      <c r="WWA79" s="44"/>
      <c r="WWB79" s="44"/>
      <c r="WWC79" s="44"/>
      <c r="WWD79" s="44"/>
      <c r="WWE79" s="44"/>
      <c r="WWF79" s="44"/>
      <c r="WWG79" s="44"/>
      <c r="WWH79" s="44"/>
      <c r="WWI79" s="44"/>
      <c r="WWJ79" s="44"/>
      <c r="WWK79" s="44"/>
      <c r="WWL79" s="44"/>
      <c r="WWM79" s="44"/>
      <c r="WWN79" s="44"/>
      <c r="WWO79" s="44"/>
      <c r="WWP79" s="44"/>
      <c r="WWQ79" s="44"/>
      <c r="WWR79" s="44"/>
      <c r="WWS79" s="44"/>
      <c r="WWT79" s="44"/>
      <c r="WWU79" s="44"/>
      <c r="WWV79" s="44"/>
      <c r="WWW79" s="44"/>
      <c r="WWX79" s="44"/>
      <c r="WWY79" s="44"/>
      <c r="WWZ79" s="44"/>
      <c r="WXA79" s="44"/>
      <c r="WXB79" s="44"/>
      <c r="WXC79" s="44"/>
      <c r="WXD79" s="44"/>
      <c r="WXE79" s="44"/>
      <c r="WXF79" s="44"/>
      <c r="WXG79" s="44"/>
      <c r="WXH79" s="44"/>
      <c r="WXI79" s="44"/>
      <c r="WXJ79" s="44"/>
      <c r="WXK79" s="44"/>
      <c r="WXL79" s="44"/>
      <c r="WXM79" s="44"/>
      <c r="WXN79" s="44"/>
      <c r="WXO79" s="44"/>
      <c r="WXP79" s="44"/>
      <c r="WXQ79" s="44"/>
      <c r="WXR79" s="44"/>
      <c r="WXS79" s="44"/>
      <c r="WXT79" s="44"/>
      <c r="WXU79" s="44"/>
      <c r="WXV79" s="44"/>
      <c r="WXW79" s="44"/>
      <c r="WXX79" s="44"/>
      <c r="WXY79" s="44"/>
      <c r="WXZ79" s="44"/>
      <c r="WYA79" s="44"/>
      <c r="WYB79" s="44"/>
      <c r="WYC79" s="44"/>
      <c r="WYD79" s="44"/>
      <c r="WYE79" s="44"/>
      <c r="WYF79" s="44"/>
      <c r="WYG79" s="44"/>
      <c r="WYH79" s="44"/>
      <c r="WYI79" s="44"/>
      <c r="WYJ79" s="44"/>
      <c r="WYK79" s="44"/>
      <c r="WYL79" s="44"/>
      <c r="WYM79" s="44"/>
      <c r="WYN79" s="44"/>
      <c r="WYO79" s="44"/>
      <c r="WYP79" s="44"/>
      <c r="WYQ79" s="44"/>
      <c r="WYR79" s="44"/>
      <c r="WYS79" s="44"/>
      <c r="WYT79" s="44"/>
      <c r="WYU79" s="44"/>
      <c r="WYV79" s="44"/>
      <c r="WYW79" s="44"/>
      <c r="WYX79" s="44"/>
      <c r="WYY79" s="44"/>
      <c r="WYZ79" s="44"/>
      <c r="WZA79" s="44"/>
      <c r="WZB79" s="44"/>
      <c r="WZC79" s="44"/>
      <c r="WZD79" s="44"/>
      <c r="WZE79" s="44"/>
      <c r="WZF79" s="44"/>
      <c r="WZG79" s="44"/>
      <c r="WZH79" s="44"/>
      <c r="WZI79" s="44"/>
      <c r="WZJ79" s="44"/>
      <c r="WZK79" s="44"/>
      <c r="WZL79" s="44"/>
      <c r="WZM79" s="44"/>
      <c r="WZN79" s="44"/>
      <c r="WZO79" s="44"/>
      <c r="WZP79" s="44"/>
      <c r="WZQ79" s="44"/>
      <c r="WZR79" s="44"/>
      <c r="WZS79" s="44"/>
      <c r="WZT79" s="44"/>
      <c r="WZU79" s="44"/>
      <c r="WZV79" s="44"/>
      <c r="WZW79" s="44"/>
      <c r="WZX79" s="44"/>
      <c r="WZY79" s="44"/>
      <c r="WZZ79" s="44"/>
      <c r="XAA79" s="44"/>
      <c r="XAB79" s="44"/>
      <c r="XAC79" s="44"/>
      <c r="XAD79" s="44"/>
      <c r="XAE79" s="44"/>
      <c r="XAF79" s="44"/>
      <c r="XAG79" s="44"/>
      <c r="XAH79" s="44"/>
      <c r="XAI79" s="44"/>
      <c r="XAJ79" s="44"/>
      <c r="XAK79" s="44"/>
      <c r="XAL79" s="44"/>
      <c r="XAM79" s="44"/>
      <c r="XAN79" s="44"/>
      <c r="XAO79" s="44"/>
      <c r="XAP79" s="44"/>
      <c r="XAQ79" s="44"/>
      <c r="XAR79" s="44"/>
      <c r="XAS79" s="44"/>
      <c r="XAT79" s="44"/>
      <c r="XAU79" s="44"/>
      <c r="XAV79" s="44"/>
      <c r="XAW79" s="44"/>
      <c r="XAX79" s="44"/>
      <c r="XAY79" s="44"/>
      <c r="XAZ79" s="44"/>
      <c r="XBA79" s="44"/>
      <c r="XBB79" s="44"/>
      <c r="XBC79" s="44"/>
      <c r="XBD79" s="44"/>
      <c r="XBE79" s="44"/>
      <c r="XBF79" s="44"/>
      <c r="XBG79" s="44"/>
      <c r="XBH79" s="44"/>
      <c r="XBI79" s="44"/>
      <c r="XBJ79" s="44"/>
      <c r="XBK79" s="44"/>
      <c r="XBL79" s="44"/>
      <c r="XBM79" s="44"/>
      <c r="XBN79" s="44"/>
      <c r="XBO79" s="44"/>
      <c r="XBP79" s="44"/>
      <c r="XBQ79" s="44"/>
      <c r="XBR79" s="44"/>
      <c r="XBS79" s="44"/>
      <c r="XBT79" s="44"/>
      <c r="XBU79" s="44"/>
      <c r="XBV79" s="44"/>
      <c r="XBW79" s="44"/>
      <c r="XBX79" s="44"/>
      <c r="XBY79" s="44"/>
      <c r="XBZ79" s="44"/>
      <c r="XCA79" s="44"/>
      <c r="XCB79" s="44"/>
      <c r="XCC79" s="44"/>
      <c r="XCD79" s="44"/>
      <c r="XCE79" s="44"/>
      <c r="XCF79" s="44"/>
      <c r="XCG79" s="44"/>
      <c r="XCH79" s="44"/>
      <c r="XCI79" s="44"/>
      <c r="XCJ79" s="44"/>
      <c r="XCK79" s="44"/>
      <c r="XCL79" s="44"/>
      <c r="XCM79" s="44"/>
      <c r="XCN79" s="44"/>
      <c r="XCO79" s="44"/>
      <c r="XCP79" s="44"/>
      <c r="XCQ79" s="44"/>
      <c r="XCR79" s="44"/>
      <c r="XCS79" s="44"/>
      <c r="XCT79" s="44"/>
      <c r="XCU79" s="44"/>
      <c r="XCV79" s="44"/>
      <c r="XCW79" s="44"/>
      <c r="XCX79" s="44"/>
      <c r="XCY79" s="44"/>
      <c r="XCZ79" s="44"/>
      <c r="XDA79" s="44"/>
      <c r="XDB79" s="44"/>
      <c r="XDC79" s="44"/>
      <c r="XDD79" s="44"/>
      <c r="XDE79" s="44"/>
      <c r="XDF79" s="44"/>
      <c r="XDG79" s="44"/>
      <c r="XDH79" s="44"/>
      <c r="XDI79" s="44"/>
      <c r="XDJ79" s="44"/>
      <c r="XDK79" s="44"/>
      <c r="XDL79" s="44"/>
      <c r="XDM79" s="44"/>
      <c r="XDN79" s="44"/>
      <c r="XDO79" s="44"/>
      <c r="XDP79" s="44"/>
      <c r="XDQ79" s="44"/>
      <c r="XDR79" s="44"/>
      <c r="XDS79" s="44"/>
      <c r="XDT79" s="44"/>
      <c r="XDU79" s="44"/>
      <c r="XDV79" s="44"/>
      <c r="XDW79" s="44"/>
      <c r="XDX79" s="44"/>
      <c r="XDY79" s="44"/>
      <c r="XDZ79" s="44"/>
      <c r="XEA79" s="44"/>
      <c r="XEB79" s="44"/>
      <c r="XEC79" s="44"/>
    </row>
    <row r="80" spans="1:16357" ht="23" hidden="1" customHeight="1" x14ac:dyDescent="0.35">
      <c r="A80" s="457">
        <v>1610</v>
      </c>
      <c r="B80" s="411" t="s">
        <v>426</v>
      </c>
      <c r="C80" s="710" t="s">
        <v>56</v>
      </c>
      <c r="D80" s="548" t="s">
        <v>57</v>
      </c>
      <c r="E80" s="307"/>
      <c r="F80" s="411" t="s">
        <v>427</v>
      </c>
      <c r="G80" s="411" t="s">
        <v>112</v>
      </c>
      <c r="H80" s="451" t="s">
        <v>428</v>
      </c>
      <c r="I80" s="473"/>
      <c r="J80" s="445"/>
      <c r="K80" s="452">
        <v>0</v>
      </c>
      <c r="L80" s="452"/>
      <c r="M80" s="459"/>
      <c r="N80" s="478"/>
      <c r="O80" s="462"/>
      <c r="P80" s="461" t="s">
        <v>429</v>
      </c>
      <c r="Q80" s="472" t="s">
        <v>430</v>
      </c>
      <c r="R80" s="487" t="s">
        <v>112</v>
      </c>
      <c r="S80" s="487"/>
      <c r="T80" s="487"/>
      <c r="U80" s="487"/>
      <c r="V80" s="487"/>
      <c r="W80" s="460"/>
      <c r="X80" s="462"/>
      <c r="Y80" s="462"/>
      <c r="Z80" s="482"/>
      <c r="AA80" s="482"/>
      <c r="AB80" s="465"/>
      <c r="AC80" s="528"/>
      <c r="AD80" s="491"/>
      <c r="AE80" s="450" t="s">
        <v>50</v>
      </c>
      <c r="AF80" s="450"/>
      <c r="AG80" s="517"/>
      <c r="AH80" s="42"/>
      <c r="AI80" s="42"/>
      <c r="AJ80" s="1"/>
      <c r="AK80" s="1"/>
      <c r="AL80" s="1"/>
      <c r="AM80" s="1"/>
      <c r="AN80" s="1" t="s">
        <v>182</v>
      </c>
      <c r="AO80" s="1" t="s">
        <v>51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233"/>
      <c r="BB80" s="233"/>
      <c r="BC80" s="233"/>
      <c r="BD80" s="1"/>
      <c r="BE80" s="1"/>
      <c r="BF80" s="1"/>
      <c r="BG80" s="19"/>
      <c r="BH80" s="253">
        <v>200</v>
      </c>
      <c r="BI80" s="194"/>
      <c r="BJ80" s="19"/>
      <c r="BK80" s="3"/>
      <c r="BL80" s="3"/>
    </row>
    <row r="81" spans="1:209" ht="23" hidden="1" customHeight="1" x14ac:dyDescent="0.35">
      <c r="A81" s="457">
        <v>1616</v>
      </c>
      <c r="B81" s="411" t="s">
        <v>431</v>
      </c>
      <c r="C81" s="501" t="s">
        <v>106</v>
      </c>
      <c r="D81" s="548" t="s">
        <v>57</v>
      </c>
      <c r="E81" s="411"/>
      <c r="F81" s="411">
        <v>310459362</v>
      </c>
      <c r="G81" s="411" t="s">
        <v>432</v>
      </c>
      <c r="H81" s="451"/>
      <c r="I81" s="473"/>
      <c r="J81" s="445" t="s">
        <v>49</v>
      </c>
      <c r="K81" s="452">
        <v>0</v>
      </c>
      <c r="L81" s="452"/>
      <c r="M81" s="459"/>
      <c r="N81" s="478"/>
      <c r="O81" s="462"/>
      <c r="P81" s="478"/>
      <c r="Q81" s="461"/>
      <c r="R81" s="461"/>
      <c r="S81" s="461"/>
      <c r="T81" s="461"/>
      <c r="U81" s="461"/>
      <c r="V81" s="461"/>
      <c r="W81" s="460"/>
      <c r="X81" s="462"/>
      <c r="Y81" s="462"/>
      <c r="Z81" s="482"/>
      <c r="AA81" s="482"/>
      <c r="AB81" s="488"/>
      <c r="AC81" s="528"/>
      <c r="AD81" s="491"/>
      <c r="AE81" s="450"/>
      <c r="AF81" s="450"/>
      <c r="AG81" s="517"/>
      <c r="AH81" s="42"/>
      <c r="AI81" s="42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233"/>
      <c r="BB81" s="233"/>
      <c r="BC81" s="233"/>
      <c r="BD81" s="1"/>
      <c r="BE81" s="1"/>
      <c r="BF81" s="1"/>
      <c r="BG81" s="19"/>
      <c r="BH81" s="253">
        <v>500</v>
      </c>
      <c r="BI81" s="194" t="s">
        <v>433</v>
      </c>
      <c r="BJ81" s="19"/>
      <c r="BK81" s="3"/>
      <c r="BL81" s="3"/>
    </row>
    <row r="82" spans="1:209" ht="23" hidden="1" customHeight="1" x14ac:dyDescent="0.35">
      <c r="A82" s="457">
        <v>1618</v>
      </c>
      <c r="B82" s="411" t="s">
        <v>434</v>
      </c>
      <c r="C82" s="546" t="s">
        <v>132</v>
      </c>
      <c r="D82" s="546"/>
      <c r="E82" s="411"/>
      <c r="F82" s="411">
        <v>3098424.84</v>
      </c>
      <c r="G82" s="411" t="s">
        <v>436</v>
      </c>
      <c r="H82" s="451" t="s">
        <v>437</v>
      </c>
      <c r="I82" s="473"/>
      <c r="J82" s="445" t="s">
        <v>49</v>
      </c>
      <c r="K82" s="600">
        <f>[23]Info!$C$9</f>
        <v>1</v>
      </c>
      <c r="L82" s="452" t="s">
        <v>73</v>
      </c>
      <c r="M82" s="459">
        <v>46183</v>
      </c>
      <c r="N82" s="461"/>
      <c r="O82" s="462"/>
      <c r="P82" s="478"/>
      <c r="Q82" s="461"/>
      <c r="R82" s="461"/>
      <c r="S82" s="461"/>
      <c r="T82" s="461"/>
      <c r="U82" s="461"/>
      <c r="V82" s="461"/>
      <c r="W82" s="460"/>
      <c r="X82" s="462"/>
      <c r="Y82" s="462"/>
      <c r="Z82" s="482"/>
      <c r="AA82" s="482"/>
      <c r="AB82" s="465"/>
      <c r="AC82" s="301"/>
      <c r="AD82" s="491"/>
      <c r="AE82" s="450" t="s">
        <v>50</v>
      </c>
      <c r="AF82" s="450"/>
      <c r="AG82" s="517"/>
      <c r="AH82" s="42"/>
      <c r="AI82" s="42"/>
      <c r="AJ82" s="1"/>
      <c r="AK82" s="1"/>
      <c r="AL82" s="1"/>
      <c r="AM82" s="1"/>
      <c r="AN82" s="1"/>
      <c r="AO82" s="1" t="s">
        <v>51</v>
      </c>
      <c r="AP82" s="1"/>
      <c r="AQ82" s="1" t="s">
        <v>51</v>
      </c>
      <c r="AR82" s="1"/>
      <c r="AS82" s="1"/>
      <c r="AT82" s="1"/>
      <c r="AU82" s="1"/>
      <c r="AV82" s="1"/>
      <c r="AW82" s="1"/>
      <c r="AX82" s="1"/>
      <c r="AY82" s="1"/>
      <c r="AZ82" s="1"/>
      <c r="BA82" s="233"/>
      <c r="BB82" s="233"/>
      <c r="BC82" s="233"/>
      <c r="BD82" s="1"/>
      <c r="BE82" s="1"/>
      <c r="BF82" s="1"/>
      <c r="BG82" s="19"/>
      <c r="BH82" s="253">
        <v>500</v>
      </c>
      <c r="BI82" s="194">
        <v>600</v>
      </c>
      <c r="BJ82" s="19" t="s">
        <v>73</v>
      </c>
      <c r="BK82" s="3" t="s">
        <v>99</v>
      </c>
      <c r="BL82" s="3" t="s">
        <v>100</v>
      </c>
    </row>
    <row r="83" spans="1:209" ht="23" hidden="1" customHeight="1" x14ac:dyDescent="0.35">
      <c r="A83" s="457">
        <v>1620</v>
      </c>
      <c r="B83" s="41" t="s">
        <v>438</v>
      </c>
      <c r="C83" s="41" t="s">
        <v>81</v>
      </c>
      <c r="D83" s="41" t="s">
        <v>439</v>
      </c>
      <c r="E83" s="41"/>
      <c r="F83" s="533" t="s">
        <v>440</v>
      </c>
      <c r="G83" s="533" t="s">
        <v>441</v>
      </c>
      <c r="H83" s="534" t="s">
        <v>442</v>
      </c>
      <c r="I83" s="535"/>
      <c r="J83" s="536"/>
      <c r="K83" s="722">
        <v>0</v>
      </c>
      <c r="L83" s="537" t="s">
        <v>73</v>
      </c>
      <c r="M83" s="538"/>
      <c r="N83" s="533"/>
      <c r="O83" s="539"/>
      <c r="P83" s="539" t="s">
        <v>443</v>
      </c>
      <c r="Q83" s="533" t="s">
        <v>444</v>
      </c>
      <c r="R83" s="533"/>
      <c r="S83" s="533"/>
      <c r="T83" s="533"/>
      <c r="U83" s="533"/>
      <c r="V83" s="533"/>
      <c r="W83" s="398" t="s">
        <v>182</v>
      </c>
      <c r="X83" s="540"/>
      <c r="Y83" s="540"/>
      <c r="Z83" s="541"/>
      <c r="AA83" s="541"/>
      <c r="AB83" s="542"/>
      <c r="AC83" s="556"/>
      <c r="AD83" s="539"/>
      <c r="AE83" s="543" t="s">
        <v>50</v>
      </c>
      <c r="AF83" s="398"/>
      <c r="AG83" s="544"/>
      <c r="AH83" s="544"/>
      <c r="AI83" s="398"/>
      <c r="AJ83" s="545"/>
      <c r="AK83" s="545"/>
      <c r="AL83" s="545"/>
      <c r="AM83" s="545"/>
      <c r="AN83" s="545"/>
      <c r="AO83" s="545"/>
      <c r="AP83" s="545"/>
      <c r="AQ83" s="545"/>
      <c r="AR83" s="545"/>
      <c r="AS83" s="545"/>
      <c r="AT83" s="545"/>
      <c r="AU83" s="545"/>
      <c r="AV83" s="545"/>
      <c r="AW83" s="545"/>
      <c r="AX83" s="545"/>
      <c r="AY83" s="545"/>
      <c r="AZ83" s="545"/>
      <c r="BA83" s="545"/>
      <c r="BB83" s="545"/>
      <c r="BC83" s="545"/>
      <c r="BD83" s="545"/>
      <c r="BE83" s="545"/>
      <c r="BF83" s="545"/>
      <c r="BG83" s="545"/>
      <c r="BH83" s="545">
        <v>850</v>
      </c>
      <c r="BI83" s="194"/>
      <c r="BJ83" s="545"/>
      <c r="BK83" s="3"/>
      <c r="BL83" s="3"/>
    </row>
    <row r="84" spans="1:209" s="16" customFormat="1" ht="23" hidden="1" customHeight="1" x14ac:dyDescent="0.35">
      <c r="A84" s="178">
        <v>1625</v>
      </c>
      <c r="B84" s="42" t="s">
        <v>764</v>
      </c>
      <c r="C84" s="457" t="s">
        <v>1091</v>
      </c>
      <c r="D84" s="723"/>
      <c r="F84" s="411" t="s">
        <v>765</v>
      </c>
      <c r="G84" s="411" t="s">
        <v>766</v>
      </c>
      <c r="N84" s="19"/>
      <c r="O84" s="19"/>
      <c r="P84" s="478" t="s">
        <v>767</v>
      </c>
      <c r="Q84" s="478" t="s">
        <v>768</v>
      </c>
      <c r="R84" s="478" t="s">
        <v>769</v>
      </c>
      <c r="S84" s="19"/>
      <c r="T84" s="27"/>
      <c r="U84" s="20"/>
      <c r="V84" s="20"/>
      <c r="W84" s="20"/>
      <c r="X84" s="252"/>
      <c r="Y84" s="176"/>
      <c r="Z84" s="253"/>
      <c r="AA84" s="177"/>
      <c r="AB84" s="177"/>
      <c r="AC84" s="19"/>
      <c r="AD84" s="19"/>
      <c r="AE84" s="450" t="s">
        <v>50</v>
      </c>
      <c r="AF84" s="724"/>
      <c r="AG84" s="725"/>
      <c r="AH84" s="4"/>
      <c r="AI84" s="725"/>
      <c r="AJ84" s="726"/>
      <c r="AK84" s="727"/>
      <c r="AL84" s="725"/>
      <c r="AM84" s="725"/>
      <c r="AN84" s="728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253">
        <v>850</v>
      </c>
      <c r="BI84" s="253">
        <v>900</v>
      </c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</row>
    <row r="85" spans="1:209" ht="23" customHeight="1" x14ac:dyDescent="0.35">
      <c r="A85" s="457">
        <v>1626</v>
      </c>
      <c r="B85" s="411" t="s">
        <v>445</v>
      </c>
      <c r="C85" s="546" t="s">
        <v>132</v>
      </c>
      <c r="D85" s="546"/>
      <c r="E85" s="411"/>
      <c r="F85" s="411" t="s">
        <v>446</v>
      </c>
      <c r="G85" s="411" t="s">
        <v>447</v>
      </c>
      <c r="H85" s="478" t="s">
        <v>448</v>
      </c>
      <c r="I85" s="478"/>
      <c r="J85" s="478" t="s">
        <v>121</v>
      </c>
      <c r="K85" s="600">
        <v>0.99</v>
      </c>
      <c r="L85" s="478" t="s">
        <v>73</v>
      </c>
      <c r="M85" s="493"/>
      <c r="N85" s="478"/>
      <c r="O85" s="478"/>
      <c r="P85" s="478" t="s">
        <v>449</v>
      </c>
      <c r="Q85" s="478" t="s">
        <v>450</v>
      </c>
      <c r="R85" s="478" t="s">
        <v>451</v>
      </c>
      <c r="S85" s="478"/>
      <c r="T85" s="478"/>
      <c r="U85" s="478"/>
      <c r="V85" s="478"/>
      <c r="W85" s="478"/>
      <c r="X85" s="478"/>
      <c r="Y85" s="478"/>
      <c r="Z85" s="482"/>
      <c r="AA85" s="482"/>
      <c r="AB85" s="469"/>
      <c r="AC85" s="301"/>
      <c r="AD85" s="491"/>
      <c r="AE85" s="450" t="s">
        <v>50</v>
      </c>
      <c r="AF85" s="450"/>
      <c r="AG85" s="517"/>
      <c r="AH85" s="42"/>
      <c r="AI85" s="42"/>
      <c r="AJ85" s="1"/>
      <c r="AK85" s="1"/>
      <c r="AL85" s="1"/>
      <c r="AM85" s="1"/>
      <c r="AN85" s="1"/>
      <c r="AO85" s="1" t="s">
        <v>51</v>
      </c>
      <c r="AP85" s="1"/>
      <c r="AQ85" s="1" t="s">
        <v>51</v>
      </c>
      <c r="AR85" s="1"/>
      <c r="AS85" s="1"/>
      <c r="AT85" s="1"/>
      <c r="AU85" s="1"/>
      <c r="AV85" s="1"/>
      <c r="AW85" s="1"/>
      <c r="AX85" s="1"/>
      <c r="AY85" s="1"/>
      <c r="AZ85" s="1"/>
      <c r="BA85" s="233"/>
      <c r="BB85" s="233"/>
      <c r="BC85" s="233"/>
      <c r="BD85" s="1"/>
      <c r="BE85" s="1"/>
      <c r="BF85" s="1"/>
      <c r="BG85" s="19" t="s">
        <v>73</v>
      </c>
      <c r="BH85" s="253">
        <v>850</v>
      </c>
      <c r="BI85" s="194">
        <v>900</v>
      </c>
      <c r="BJ85" s="562" t="s">
        <v>73</v>
      </c>
      <c r="BK85" s="3" t="s">
        <v>99</v>
      </c>
      <c r="BL85" s="3" t="s">
        <v>100</v>
      </c>
    </row>
    <row r="86" spans="1:209" ht="23" customHeight="1" x14ac:dyDescent="0.35">
      <c r="A86" s="457">
        <v>1627</v>
      </c>
      <c r="B86" s="411" t="s">
        <v>452</v>
      </c>
      <c r="C86" s="546" t="s">
        <v>132</v>
      </c>
      <c r="D86" s="546"/>
      <c r="E86" s="411"/>
      <c r="F86" s="411" t="s">
        <v>453</v>
      </c>
      <c r="G86" s="411" t="s">
        <v>454</v>
      </c>
      <c r="H86" s="478" t="s">
        <v>455</v>
      </c>
      <c r="I86" s="478"/>
      <c r="J86" s="478" t="s">
        <v>60</v>
      </c>
      <c r="K86" s="600">
        <v>0.99</v>
      </c>
      <c r="L86" s="478" t="s">
        <v>73</v>
      </c>
      <c r="M86" s="493"/>
      <c r="N86" s="478"/>
      <c r="O86" s="478"/>
      <c r="P86" s="478" t="s">
        <v>456</v>
      </c>
      <c r="Q86" s="478">
        <v>305518534</v>
      </c>
      <c r="R86" s="478" t="s">
        <v>112</v>
      </c>
      <c r="S86" s="478"/>
      <c r="T86" s="478"/>
      <c r="U86" s="478"/>
      <c r="V86" s="478"/>
      <c r="W86" s="478"/>
      <c r="X86" s="478"/>
      <c r="Y86" s="478"/>
      <c r="Z86" s="482"/>
      <c r="AA86" s="482"/>
      <c r="AB86" s="465"/>
      <c r="AC86" s="557"/>
      <c r="AD86" s="491"/>
      <c r="AE86" s="450" t="s">
        <v>50</v>
      </c>
      <c r="AF86" s="450"/>
      <c r="AG86" s="517"/>
      <c r="AH86" s="42"/>
      <c r="AI86" s="42"/>
      <c r="AJ86" s="1"/>
      <c r="AK86" s="1"/>
      <c r="AL86" s="1"/>
      <c r="AM86" s="1"/>
      <c r="AN86" s="1"/>
      <c r="AO86" s="1" t="s">
        <v>51</v>
      </c>
      <c r="AP86" s="1"/>
      <c r="AQ86" s="1" t="s">
        <v>51</v>
      </c>
      <c r="AR86" s="1"/>
      <c r="AS86" s="1"/>
      <c r="AT86" s="1"/>
      <c r="AU86" s="1"/>
      <c r="AV86" s="1"/>
      <c r="AW86" s="1"/>
      <c r="AX86" s="1"/>
      <c r="AY86" s="1"/>
      <c r="AZ86" s="1"/>
      <c r="BA86" s="233"/>
      <c r="BB86" s="233"/>
      <c r="BC86" s="233"/>
      <c r="BD86" s="1"/>
      <c r="BE86" s="1"/>
      <c r="BF86" s="1"/>
      <c r="BG86" s="19" t="s">
        <v>73</v>
      </c>
      <c r="BH86" s="253">
        <v>850</v>
      </c>
      <c r="BI86" s="194">
        <v>900</v>
      </c>
      <c r="BJ86" s="560" t="s">
        <v>73</v>
      </c>
      <c r="BK86" s="3" t="s">
        <v>74</v>
      </c>
      <c r="BL86" s="3" t="s">
        <v>100</v>
      </c>
    </row>
    <row r="87" spans="1:209" ht="23" hidden="1" customHeight="1" x14ac:dyDescent="0.35">
      <c r="A87" s="457">
        <v>1688</v>
      </c>
      <c r="B87" s="478" t="s">
        <v>457</v>
      </c>
      <c r="C87" s="546" t="s">
        <v>132</v>
      </c>
      <c r="D87" s="546"/>
      <c r="E87" s="411"/>
      <c r="F87" s="411" t="s">
        <v>458</v>
      </c>
      <c r="G87" s="411" t="s">
        <v>112</v>
      </c>
      <c r="H87" s="461" t="s">
        <v>459</v>
      </c>
      <c r="I87" s="478"/>
      <c r="J87" s="478" t="s">
        <v>60</v>
      </c>
      <c r="K87" s="452">
        <v>0.9</v>
      </c>
      <c r="L87" s="478" t="s">
        <v>73</v>
      </c>
      <c r="M87" s="493"/>
      <c r="N87" s="478"/>
      <c r="O87" s="478"/>
      <c r="P87" s="478"/>
      <c r="Q87" s="478"/>
      <c r="R87" s="478"/>
      <c r="S87" s="478"/>
      <c r="T87" s="478"/>
      <c r="U87" s="478"/>
      <c r="V87" s="478"/>
      <c r="W87" s="478"/>
      <c r="X87" s="478"/>
      <c r="Y87" s="478"/>
      <c r="Z87" s="482"/>
      <c r="AA87" s="482"/>
      <c r="AB87" s="465"/>
      <c r="AC87" s="557"/>
      <c r="AD87" s="491"/>
      <c r="AE87" s="450"/>
      <c r="AF87" s="450"/>
      <c r="AG87" s="517"/>
      <c r="AH87" s="42"/>
      <c r="AI87" s="42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233"/>
      <c r="BB87" s="233"/>
      <c r="BC87" s="233"/>
      <c r="BD87" s="1"/>
      <c r="BE87" s="1"/>
      <c r="BF87" s="1"/>
      <c r="BG87" s="19"/>
      <c r="BH87" s="253"/>
      <c r="BI87" s="194"/>
      <c r="BJ87" s="19"/>
      <c r="BK87" s="3"/>
      <c r="BL87" s="3"/>
    </row>
    <row r="88" spans="1:209" s="453" customFormat="1" ht="23" hidden="1" customHeight="1" x14ac:dyDescent="0.35">
      <c r="A88" s="457">
        <v>1630</v>
      </c>
      <c r="B88" s="527" t="s">
        <v>460</v>
      </c>
      <c r="C88" s="548" t="s">
        <v>45</v>
      </c>
      <c r="D88" s="548"/>
      <c r="E88" s="42"/>
      <c r="F88" s="42" t="s">
        <v>461</v>
      </c>
      <c r="G88" s="42" t="s">
        <v>112</v>
      </c>
      <c r="H88" s="461" t="s">
        <v>462</v>
      </c>
      <c r="I88" s="477"/>
      <c r="J88" s="461" t="s">
        <v>49</v>
      </c>
      <c r="K88" s="452">
        <v>0.3</v>
      </c>
      <c r="L88" s="494"/>
      <c r="M88" s="459"/>
      <c r="N88" s="461"/>
      <c r="O88" s="461"/>
      <c r="P88" s="461"/>
      <c r="Q88" s="461"/>
      <c r="R88" s="461"/>
      <c r="S88" s="461"/>
      <c r="T88" s="461"/>
      <c r="U88" s="461"/>
      <c r="V88" s="461"/>
      <c r="W88" s="461"/>
      <c r="X88" s="461"/>
      <c r="Y88" s="461"/>
      <c r="Z88" s="482"/>
      <c r="AA88" s="482"/>
      <c r="AB88" s="469"/>
      <c r="AC88" s="301"/>
      <c r="AD88" s="42"/>
      <c r="AE88" s="42"/>
      <c r="AF88" s="42"/>
      <c r="AG88" s="42"/>
      <c r="AH88" s="42"/>
      <c r="AI88" s="4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453">
        <v>500</v>
      </c>
      <c r="BI88" s="194"/>
      <c r="BJ88" s="2"/>
      <c r="BK88" s="563"/>
      <c r="BL88" s="563"/>
      <c r="BM88" s="530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</row>
    <row r="89" spans="1:209" ht="23" hidden="1" customHeight="1" x14ac:dyDescent="0.35">
      <c r="A89" s="457">
        <v>1660</v>
      </c>
      <c r="B89" s="411" t="s">
        <v>463</v>
      </c>
      <c r="C89" s="501"/>
      <c r="D89" s="548" t="s">
        <v>57</v>
      </c>
      <c r="E89" s="411"/>
      <c r="F89" s="411">
        <v>323999468</v>
      </c>
      <c r="G89" s="411" t="s">
        <v>464</v>
      </c>
      <c r="H89" s="451" t="s">
        <v>465</v>
      </c>
      <c r="I89" s="477"/>
      <c r="J89" s="734" t="s">
        <v>1096</v>
      </c>
      <c r="K89" s="452">
        <v>1</v>
      </c>
      <c r="L89" s="452" t="s">
        <v>73</v>
      </c>
      <c r="M89" s="459"/>
      <c r="N89" s="472"/>
      <c r="O89" s="462"/>
      <c r="P89" s="461"/>
      <c r="Q89" s="478">
        <v>323999689</v>
      </c>
      <c r="R89" s="478" t="s">
        <v>466</v>
      </c>
      <c r="S89" s="461"/>
      <c r="T89" s="461"/>
      <c r="U89" s="461"/>
      <c r="V89" s="461"/>
      <c r="W89" s="461"/>
      <c r="X89" s="462"/>
      <c r="Y89" s="462"/>
      <c r="Z89" s="42"/>
      <c r="AA89" s="42"/>
      <c r="AB89" s="465"/>
      <c r="AC89" s="528"/>
      <c r="AD89" s="491"/>
      <c r="AE89" s="450"/>
      <c r="AF89" s="42"/>
      <c r="AG89" s="474"/>
      <c r="AH89" s="474"/>
      <c r="AI89" s="42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253"/>
      <c r="BH89" s="253">
        <v>200</v>
      </c>
      <c r="BI89" s="177" t="s">
        <v>467</v>
      </c>
      <c r="BJ89" s="1"/>
      <c r="BK89" s="3"/>
      <c r="BL89" s="3"/>
    </row>
    <row r="90" spans="1:209" s="624" customFormat="1" ht="23" hidden="1" customHeight="1" x14ac:dyDescent="0.35">
      <c r="A90" s="457">
        <v>1662</v>
      </c>
      <c r="B90" s="604" t="s">
        <v>468</v>
      </c>
      <c r="C90" s="605" t="s">
        <v>66</v>
      </c>
      <c r="D90" s="605"/>
      <c r="E90" s="604"/>
      <c r="F90" s="604" t="s">
        <v>469</v>
      </c>
      <c r="G90" s="604" t="s">
        <v>470</v>
      </c>
      <c r="H90" s="606" t="s">
        <v>471</v>
      </c>
      <c r="I90" s="607"/>
      <c r="J90" s="608"/>
      <c r="K90" s="609">
        <v>0</v>
      </c>
      <c r="L90" s="609"/>
      <c r="M90" s="610"/>
      <c r="N90" s="719"/>
      <c r="O90" s="612"/>
      <c r="P90" s="608"/>
      <c r="Q90" s="611"/>
      <c r="R90" s="608"/>
      <c r="S90" s="608"/>
      <c r="T90" s="608"/>
      <c r="U90" s="608"/>
      <c r="V90" s="608"/>
      <c r="W90" s="608"/>
      <c r="X90" s="612"/>
      <c r="Y90" s="612"/>
      <c r="Z90" s="613"/>
      <c r="AA90" s="613"/>
      <c r="AB90" s="614"/>
      <c r="AC90" s="615"/>
      <c r="AD90" s="616"/>
      <c r="AE90" s="617" t="s">
        <v>472</v>
      </c>
      <c r="AF90" s="618"/>
      <c r="AG90" s="619"/>
      <c r="AH90" s="619"/>
      <c r="AI90" s="618"/>
      <c r="AJ90" s="620"/>
      <c r="AK90" s="620"/>
      <c r="AL90" s="620"/>
      <c r="AM90" s="620"/>
      <c r="AN90" s="620"/>
      <c r="AO90" s="620"/>
      <c r="AP90" s="620"/>
      <c r="AQ90" s="620"/>
      <c r="AR90" s="620"/>
      <c r="AS90" s="620"/>
      <c r="AT90" s="620"/>
      <c r="AU90" s="620"/>
      <c r="AV90" s="620"/>
      <c r="AW90" s="620"/>
      <c r="AX90" s="620"/>
      <c r="AY90" s="620"/>
      <c r="AZ90" s="620"/>
      <c r="BA90" s="620"/>
      <c r="BB90" s="620"/>
      <c r="BC90" s="620"/>
      <c r="BD90" s="620"/>
      <c r="BE90" s="620"/>
      <c r="BF90" s="620"/>
      <c r="BG90" s="621"/>
      <c r="BH90" s="621">
        <v>500</v>
      </c>
      <c r="BI90" s="622" t="s">
        <v>285</v>
      </c>
      <c r="BJ90" s="620"/>
      <c r="BK90" s="623"/>
      <c r="BL90" s="623"/>
    </row>
    <row r="91" spans="1:209" ht="23" hidden="1" customHeight="1" x14ac:dyDescent="0.35">
      <c r="A91" s="457">
        <v>1676</v>
      </c>
      <c r="B91" s="411" t="s">
        <v>473</v>
      </c>
      <c r="C91" s="546"/>
      <c r="D91" s="546"/>
      <c r="E91" s="411"/>
      <c r="F91" s="411" t="s">
        <v>474</v>
      </c>
      <c r="G91" s="411" t="s">
        <v>475</v>
      </c>
      <c r="H91" s="478" t="s">
        <v>476</v>
      </c>
      <c r="I91" s="477"/>
      <c r="J91" s="478" t="s">
        <v>60</v>
      </c>
      <c r="K91" s="452">
        <v>0.7</v>
      </c>
      <c r="L91" s="478" t="s">
        <v>73</v>
      </c>
      <c r="M91" s="459"/>
      <c r="N91" s="478"/>
      <c r="O91" s="461"/>
      <c r="P91" s="478"/>
      <c r="Q91" s="478"/>
      <c r="R91" s="478"/>
      <c r="S91" s="478"/>
      <c r="T91" s="478"/>
      <c r="U91" s="478"/>
      <c r="V91" s="478"/>
      <c r="W91" s="478"/>
      <c r="X91" s="463"/>
      <c r="Y91" s="463"/>
      <c r="Z91" s="482"/>
      <c r="AA91" s="482"/>
      <c r="AB91" s="465"/>
      <c r="AC91" s="301"/>
      <c r="AD91" s="491"/>
      <c r="AE91" s="450" t="s">
        <v>50</v>
      </c>
      <c r="AF91" s="450"/>
      <c r="AG91" s="42"/>
      <c r="AH91" s="42"/>
      <c r="AI91" s="42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233"/>
      <c r="BB91" s="233"/>
      <c r="BC91" s="233"/>
      <c r="BD91" s="1"/>
      <c r="BE91" s="1"/>
      <c r="BF91" s="1"/>
      <c r="BG91" s="19"/>
      <c r="BH91" s="253">
        <v>0</v>
      </c>
      <c r="BI91" s="177" t="s">
        <v>230</v>
      </c>
      <c r="BJ91" s="16"/>
      <c r="BK91" s="3"/>
      <c r="BL91" s="3"/>
    </row>
    <row r="92" spans="1:209" s="624" customFormat="1" ht="23" hidden="1" customHeight="1" x14ac:dyDescent="0.35">
      <c r="A92" s="457">
        <v>1678</v>
      </c>
      <c r="B92" s="604" t="s">
        <v>477</v>
      </c>
      <c r="C92" s="605" t="s">
        <v>81</v>
      </c>
      <c r="D92" s="605" t="s">
        <v>478</v>
      </c>
      <c r="E92" s="604"/>
      <c r="F92" s="604" t="s">
        <v>479</v>
      </c>
      <c r="G92" s="604" t="s">
        <v>112</v>
      </c>
      <c r="H92" s="606" t="s">
        <v>480</v>
      </c>
      <c r="I92" s="607"/>
      <c r="J92" s="608"/>
      <c r="K92" s="609">
        <v>0</v>
      </c>
      <c r="L92" s="609" t="s">
        <v>481</v>
      </c>
      <c r="M92" s="610"/>
      <c r="N92" s="719"/>
      <c r="O92" s="612"/>
      <c r="P92" s="608"/>
      <c r="Q92" s="611" t="s">
        <v>479</v>
      </c>
      <c r="R92" s="608" t="s">
        <v>112</v>
      </c>
      <c r="S92" s="608"/>
      <c r="T92" s="608"/>
      <c r="U92" s="608"/>
      <c r="V92" s="608"/>
      <c r="W92" s="608"/>
      <c r="X92" s="612"/>
      <c r="Y92" s="612"/>
      <c r="Z92" s="613"/>
      <c r="AA92" s="613"/>
      <c r="AB92" s="614"/>
      <c r="AC92" s="615" t="s">
        <v>482</v>
      </c>
      <c r="AD92" s="616" t="s">
        <v>182</v>
      </c>
      <c r="AE92" s="617"/>
      <c r="AF92" s="618"/>
      <c r="AG92" s="619"/>
      <c r="AH92" s="619"/>
      <c r="AI92" s="618"/>
      <c r="AJ92" s="620"/>
      <c r="AK92" s="620"/>
      <c r="AL92" s="620"/>
      <c r="AM92" s="620" t="s">
        <v>182</v>
      </c>
      <c r="AN92" s="620"/>
      <c r="AO92" s="620"/>
      <c r="AP92" s="620"/>
      <c r="AQ92" s="620"/>
      <c r="AR92" s="620"/>
      <c r="AS92" s="620"/>
      <c r="AT92" s="620"/>
      <c r="AU92" s="620"/>
      <c r="AV92" s="620"/>
      <c r="AW92" s="620"/>
      <c r="AX92" s="620"/>
      <c r="AY92" s="620"/>
      <c r="AZ92" s="620"/>
      <c r="BA92" s="620"/>
      <c r="BB92" s="620"/>
      <c r="BC92" s="620"/>
      <c r="BD92" s="620"/>
      <c r="BE92" s="620"/>
      <c r="BF92" s="620"/>
      <c r="BG92" s="621"/>
      <c r="BH92" s="621"/>
      <c r="BI92" s="622"/>
      <c r="BJ92" s="620"/>
      <c r="BK92" s="623"/>
      <c r="BL92" s="623"/>
    </row>
    <row r="93" spans="1:209" ht="23" hidden="1" customHeight="1" x14ac:dyDescent="0.35">
      <c r="A93" s="457">
        <v>1690</v>
      </c>
      <c r="B93" s="411" t="s">
        <v>483</v>
      </c>
      <c r="C93" s="546" t="s">
        <v>132</v>
      </c>
      <c r="D93" s="546"/>
      <c r="E93" s="411"/>
      <c r="F93" s="411" t="s">
        <v>484</v>
      </c>
      <c r="G93" s="411" t="s">
        <v>485</v>
      </c>
      <c r="H93" s="478" t="s">
        <v>486</v>
      </c>
      <c r="I93" s="477"/>
      <c r="J93" s="478" t="s">
        <v>49</v>
      </c>
      <c r="K93" s="452">
        <v>0.4</v>
      </c>
      <c r="L93" s="478"/>
      <c r="M93" s="459"/>
      <c r="N93" s="478"/>
      <c r="O93" s="461"/>
      <c r="P93" s="478"/>
      <c r="Q93" s="478"/>
      <c r="R93" s="478"/>
      <c r="S93" s="478"/>
      <c r="T93" s="478"/>
      <c r="U93" s="478"/>
      <c r="V93" s="478"/>
      <c r="W93" s="478"/>
      <c r="X93" s="463"/>
      <c r="Y93" s="463"/>
      <c r="Z93" s="482"/>
      <c r="AA93" s="482"/>
      <c r="AB93" s="465"/>
      <c r="AC93" s="301"/>
      <c r="AD93" s="491"/>
      <c r="AE93" s="450"/>
      <c r="AF93" s="450"/>
      <c r="AG93" s="42"/>
      <c r="AH93" s="42"/>
      <c r="AI93" s="42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233"/>
      <c r="BB93" s="233"/>
      <c r="BC93" s="233"/>
      <c r="BD93" s="1"/>
      <c r="BE93" s="1"/>
      <c r="BF93" s="1"/>
      <c r="BG93" s="19"/>
      <c r="BH93" s="253">
        <v>850</v>
      </c>
      <c r="BI93" s="194"/>
      <c r="BJ93" s="16"/>
      <c r="BK93" s="3"/>
      <c r="BL93" s="3"/>
    </row>
    <row r="94" spans="1:209" ht="23" customHeight="1" x14ac:dyDescent="0.35">
      <c r="A94" s="457">
        <v>1690</v>
      </c>
      <c r="B94" s="411" t="s">
        <v>487</v>
      </c>
      <c r="C94" s="546" t="s">
        <v>132</v>
      </c>
      <c r="D94" s="546"/>
      <c r="E94" s="411"/>
      <c r="F94" s="411">
        <v>327265507</v>
      </c>
      <c r="G94" s="56" t="s">
        <v>488</v>
      </c>
      <c r="H94" s="478" t="s">
        <v>489</v>
      </c>
      <c r="I94" s="478"/>
      <c r="J94" s="478" t="s">
        <v>60</v>
      </c>
      <c r="K94" s="452">
        <v>0.99</v>
      </c>
      <c r="L94" s="478"/>
      <c r="M94" s="459"/>
      <c r="N94" s="478"/>
      <c r="O94" s="461"/>
      <c r="P94" s="478"/>
      <c r="Q94" s="478"/>
      <c r="R94" s="478"/>
      <c r="S94" s="478"/>
      <c r="T94" s="478"/>
      <c r="U94" s="478"/>
      <c r="V94" s="478"/>
      <c r="W94" s="478"/>
      <c r="X94" s="463"/>
      <c r="Y94" s="463"/>
      <c r="Z94" s="42"/>
      <c r="AA94" s="42"/>
      <c r="AB94" s="465"/>
      <c r="AC94" s="301"/>
      <c r="AD94" s="491"/>
      <c r="AE94" s="450"/>
      <c r="AF94" s="450"/>
      <c r="AG94" s="42"/>
      <c r="AH94" s="42"/>
      <c r="AI94" s="42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233"/>
      <c r="BB94" s="233"/>
      <c r="BC94" s="233"/>
      <c r="BD94" s="1"/>
      <c r="BE94" s="1"/>
      <c r="BF94" s="1"/>
      <c r="BG94" s="19"/>
      <c r="BH94" s="253"/>
      <c r="BI94" s="194"/>
      <c r="BJ94" s="16"/>
      <c r="BK94" s="3"/>
      <c r="BL94" s="3"/>
    </row>
    <row r="95" spans="1:209" ht="23" hidden="1" customHeight="1" x14ac:dyDescent="0.35">
      <c r="A95" s="457">
        <v>1691</v>
      </c>
      <c r="B95" s="411" t="s">
        <v>490</v>
      </c>
      <c r="C95" s="546" t="s">
        <v>132</v>
      </c>
      <c r="D95" s="546"/>
      <c r="F95" s="411">
        <v>294186891</v>
      </c>
      <c r="G95" s="411" t="s">
        <v>491</v>
      </c>
      <c r="H95" s="478" t="s">
        <v>492</v>
      </c>
      <c r="I95" s="478"/>
      <c r="J95" s="478"/>
      <c r="K95" s="452">
        <v>0</v>
      </c>
      <c r="L95" s="478"/>
      <c r="M95" s="459"/>
      <c r="N95" s="478"/>
      <c r="O95" s="461"/>
      <c r="Q95" s="478">
        <v>292562314</v>
      </c>
      <c r="R95" s="478" t="s">
        <v>493</v>
      </c>
      <c r="S95" s="478"/>
      <c r="T95" s="478"/>
      <c r="U95" s="478"/>
      <c r="V95" s="478"/>
      <c r="W95" s="478"/>
      <c r="X95" s="463"/>
      <c r="Y95" s="463"/>
      <c r="Z95" s="42"/>
      <c r="AA95" s="42"/>
      <c r="AB95" s="465"/>
      <c r="AC95" s="301"/>
      <c r="AD95" s="491"/>
      <c r="AE95" s="450"/>
      <c r="AF95" s="450"/>
      <c r="AG95" s="42"/>
      <c r="AH95" s="42"/>
      <c r="AI95" s="42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233"/>
      <c r="BB95" s="233"/>
      <c r="BC95" s="233"/>
      <c r="BD95" s="1"/>
      <c r="BE95" s="1"/>
      <c r="BF95" s="1"/>
      <c r="BG95" s="19"/>
      <c r="BH95" s="253"/>
      <c r="BI95" s="194"/>
      <c r="BJ95" s="16"/>
      <c r="BK95" s="3"/>
      <c r="BL95" s="3"/>
    </row>
    <row r="96" spans="1:209" ht="23" hidden="1" customHeight="1" x14ac:dyDescent="0.35">
      <c r="A96" s="457">
        <v>1700</v>
      </c>
      <c r="B96" s="411" t="s">
        <v>494</v>
      </c>
      <c r="C96" s="546" t="s">
        <v>132</v>
      </c>
      <c r="D96" s="546"/>
      <c r="E96" s="411"/>
      <c r="F96" s="411">
        <v>296001910</v>
      </c>
      <c r="G96" s="411" t="s">
        <v>485</v>
      </c>
      <c r="H96" s="478" t="s">
        <v>495</v>
      </c>
      <c r="I96" s="478"/>
      <c r="J96" s="478" t="s">
        <v>49</v>
      </c>
      <c r="K96" s="452">
        <v>0</v>
      </c>
      <c r="L96" s="478"/>
      <c r="M96" s="459"/>
      <c r="N96" s="478"/>
      <c r="O96" s="461"/>
      <c r="P96" s="478"/>
      <c r="Q96" s="478"/>
      <c r="R96" s="478"/>
      <c r="S96" s="478"/>
      <c r="T96" s="478"/>
      <c r="U96" s="478"/>
      <c r="V96" s="478"/>
      <c r="W96" s="478"/>
      <c r="X96" s="463"/>
      <c r="Y96" s="463"/>
      <c r="Z96" s="42"/>
      <c r="AA96" s="42"/>
      <c r="AB96" s="495"/>
      <c r="AC96" s="301"/>
      <c r="AD96" s="491"/>
      <c r="AE96" s="450" t="s">
        <v>50</v>
      </c>
      <c r="AF96" s="450"/>
      <c r="AG96" s="42"/>
      <c r="AH96" s="42"/>
      <c r="AI96" s="42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233"/>
      <c r="BB96" s="233"/>
      <c r="BC96" s="233"/>
      <c r="BD96" s="1"/>
      <c r="BE96" s="1"/>
      <c r="BF96" s="1"/>
      <c r="BG96" s="19"/>
      <c r="BH96" s="253">
        <v>500</v>
      </c>
      <c r="BI96" s="194">
        <v>600</v>
      </c>
      <c r="BJ96" s="16"/>
      <c r="BK96" s="3"/>
      <c r="BL96" s="3"/>
    </row>
    <row r="97" spans="1:115" ht="23" customHeight="1" x14ac:dyDescent="0.35">
      <c r="A97" s="457">
        <v>1701</v>
      </c>
      <c r="B97" s="411" t="s">
        <v>496</v>
      </c>
      <c r="C97" s="546" t="s">
        <v>132</v>
      </c>
      <c r="D97" s="546"/>
      <c r="E97" s="411"/>
      <c r="F97" s="411">
        <v>321372816</v>
      </c>
      <c r="G97" s="411" t="s">
        <v>497</v>
      </c>
      <c r="H97" s="478" t="s">
        <v>498</v>
      </c>
      <c r="I97" s="478"/>
      <c r="J97" s="478" t="s">
        <v>49</v>
      </c>
      <c r="K97" s="452">
        <v>0.99</v>
      </c>
      <c r="L97" s="478" t="s">
        <v>73</v>
      </c>
      <c r="M97" s="459"/>
      <c r="N97" s="478"/>
      <c r="O97" s="461"/>
      <c r="P97" s="478"/>
      <c r="Q97" s="478">
        <v>321840755</v>
      </c>
      <c r="R97" s="603"/>
      <c r="S97" s="461"/>
      <c r="T97" s="461"/>
      <c r="U97" s="461"/>
      <c r="V97" s="461"/>
      <c r="W97" s="461"/>
      <c r="X97" s="461"/>
      <c r="Y97" s="461"/>
      <c r="Z97" s="482"/>
      <c r="AA97" s="482"/>
      <c r="AB97" s="465"/>
      <c r="AC97" s="301"/>
      <c r="AD97" s="491"/>
      <c r="AE97" s="450" t="s">
        <v>50</v>
      </c>
      <c r="AF97" s="450"/>
      <c r="AG97" s="42"/>
      <c r="AH97" s="42"/>
      <c r="AI97" s="42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233"/>
      <c r="BB97" s="233"/>
      <c r="BC97" s="233"/>
      <c r="BD97" s="1"/>
      <c r="BE97" s="1"/>
      <c r="BF97" s="1"/>
      <c r="BG97" s="19"/>
      <c r="BH97" s="253">
        <v>500</v>
      </c>
      <c r="BI97" s="194">
        <v>600</v>
      </c>
      <c r="BJ97" s="16" t="s">
        <v>73</v>
      </c>
      <c r="BK97" s="3" t="s">
        <v>99</v>
      </c>
      <c r="BL97" s="3" t="s">
        <v>100</v>
      </c>
    </row>
    <row r="98" spans="1:115" ht="23" hidden="1" customHeight="1" x14ac:dyDescent="0.35">
      <c r="A98" s="457" t="s">
        <v>499</v>
      </c>
      <c r="B98" s="411" t="s">
        <v>500</v>
      </c>
      <c r="C98" s="547" t="s">
        <v>66</v>
      </c>
      <c r="D98" s="547"/>
      <c r="E98" s="411"/>
      <c r="F98" s="411">
        <v>313814660</v>
      </c>
      <c r="G98" s="470" t="s">
        <v>501</v>
      </c>
      <c r="H98" s="451" t="s">
        <v>502</v>
      </c>
      <c r="I98" s="477"/>
      <c r="J98" s="735" t="s">
        <v>60</v>
      </c>
      <c r="K98" s="452">
        <f>[24]Info!$C$14</f>
        <v>1</v>
      </c>
      <c r="L98" s="452"/>
      <c r="M98" s="459"/>
      <c r="N98" s="461"/>
      <c r="O98" s="461"/>
      <c r="P98" s="461"/>
      <c r="Q98" s="461"/>
      <c r="R98" s="461"/>
      <c r="S98" s="461"/>
      <c r="T98" s="461"/>
      <c r="U98" s="461"/>
      <c r="V98" s="461"/>
      <c r="W98" s="461"/>
      <c r="X98" s="463"/>
      <c r="Y98" s="463"/>
      <c r="Z98" s="482"/>
      <c r="AA98" s="482"/>
      <c r="AB98" s="495"/>
      <c r="AC98" s="301"/>
      <c r="AD98" s="491"/>
      <c r="AE98" s="450" t="s">
        <v>50</v>
      </c>
      <c r="AF98" s="450"/>
      <c r="AG98" s="42"/>
      <c r="AH98" s="42"/>
      <c r="AI98" s="42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233"/>
      <c r="BB98" s="233"/>
      <c r="BC98" s="233"/>
      <c r="BD98" s="1"/>
      <c r="BE98" s="1"/>
      <c r="BF98" s="1"/>
      <c r="BG98" s="19"/>
      <c r="BH98" s="253">
        <v>500</v>
      </c>
      <c r="BI98" s="194" t="s">
        <v>285</v>
      </c>
      <c r="BJ98" s="19"/>
      <c r="BK98" s="3"/>
      <c r="BL98" s="3"/>
    </row>
    <row r="99" spans="1:115" ht="23" hidden="1" customHeight="1" x14ac:dyDescent="0.35">
      <c r="A99" s="457">
        <v>1274</v>
      </c>
      <c r="B99" s="411" t="s">
        <v>507</v>
      </c>
      <c r="C99" s="546" t="s">
        <v>132</v>
      </c>
      <c r="D99" s="546"/>
      <c r="E99" s="411"/>
      <c r="F99" s="411">
        <v>304084794</v>
      </c>
      <c r="G99" s="470" t="s">
        <v>508</v>
      </c>
      <c r="H99" s="478" t="s">
        <v>509</v>
      </c>
      <c r="I99" s="477"/>
      <c r="J99" s="461"/>
      <c r="K99" s="452">
        <v>0</v>
      </c>
      <c r="L99" s="452"/>
      <c r="M99" s="459"/>
      <c r="N99" s="478"/>
      <c r="O99" s="461"/>
      <c r="Q99" s="461" t="s">
        <v>510</v>
      </c>
      <c r="R99" s="461" t="s">
        <v>511</v>
      </c>
      <c r="S99" s="461"/>
      <c r="T99" s="461"/>
      <c r="U99" s="461"/>
      <c r="V99" s="461"/>
      <c r="W99" s="461"/>
      <c r="X99" s="463"/>
      <c r="Y99" s="463"/>
      <c r="Z99" s="482"/>
      <c r="AA99" s="482"/>
      <c r="AB99" s="465"/>
      <c r="AC99" s="301"/>
      <c r="AD99" s="491"/>
      <c r="AE99" s="450" t="s">
        <v>50</v>
      </c>
      <c r="AF99" s="450"/>
      <c r="AG99" s="42"/>
      <c r="AH99" s="42"/>
      <c r="AI99" s="42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233"/>
      <c r="BB99" s="233"/>
      <c r="BC99" s="233"/>
      <c r="BD99" s="1"/>
      <c r="BE99" s="1"/>
      <c r="BF99" s="1"/>
      <c r="BG99" s="19"/>
      <c r="BH99" s="253">
        <v>850</v>
      </c>
      <c r="BI99" s="194">
        <v>900</v>
      </c>
      <c r="BJ99" s="19"/>
      <c r="BK99" s="3"/>
      <c r="BL99" s="3"/>
    </row>
    <row r="100" spans="1:115" ht="23" hidden="1" customHeight="1" x14ac:dyDescent="0.35">
      <c r="A100" s="457">
        <v>1711</v>
      </c>
      <c r="B100" s="42" t="s">
        <v>512</v>
      </c>
      <c r="C100" s="546" t="s">
        <v>132</v>
      </c>
      <c r="D100" s="546"/>
      <c r="E100" s="42"/>
      <c r="F100" s="42">
        <v>306539888</v>
      </c>
      <c r="G100" s="42" t="s">
        <v>513</v>
      </c>
      <c r="H100" s="461" t="s">
        <v>514</v>
      </c>
      <c r="I100" s="462"/>
      <c r="J100" s="461" t="s">
        <v>49</v>
      </c>
      <c r="K100" s="452">
        <v>0</v>
      </c>
      <c r="L100" s="461"/>
      <c r="M100" s="459"/>
      <c r="N100" s="478"/>
      <c r="O100" s="461"/>
      <c r="P100" s="461" t="s">
        <v>515</v>
      </c>
      <c r="Q100" s="461">
        <v>306540088</v>
      </c>
      <c r="R100" s="461" t="s">
        <v>516</v>
      </c>
      <c r="S100" s="461"/>
      <c r="T100" s="461"/>
      <c r="U100" s="461"/>
      <c r="V100" s="461"/>
      <c r="W100" s="461"/>
      <c r="X100" s="461"/>
      <c r="Y100" s="461"/>
      <c r="Z100" s="482"/>
      <c r="AA100" s="482"/>
      <c r="AB100" s="465"/>
      <c r="AC100" s="301"/>
      <c r="AD100" s="491"/>
      <c r="AE100" s="450" t="s">
        <v>50</v>
      </c>
      <c r="AF100" s="491"/>
      <c r="AG100" s="42"/>
      <c r="AH100" s="42"/>
      <c r="AI100" s="42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233"/>
      <c r="BB100" s="233"/>
      <c r="BC100" s="233"/>
      <c r="BD100" s="1"/>
      <c r="BE100" s="1"/>
      <c r="BF100" s="1"/>
      <c r="BG100" s="1"/>
      <c r="BH100" s="532">
        <v>500</v>
      </c>
      <c r="BI100" s="194">
        <v>600</v>
      </c>
      <c r="BJ100" s="1"/>
      <c r="BK100" s="3"/>
      <c r="BL100" s="3"/>
    </row>
    <row r="101" spans="1:115" ht="23" customHeight="1" x14ac:dyDescent="0.35">
      <c r="A101" s="457">
        <v>1725</v>
      </c>
      <c r="B101" s="42" t="s">
        <v>517</v>
      </c>
      <c r="C101" s="546" t="s">
        <v>132</v>
      </c>
      <c r="D101" s="546"/>
      <c r="E101" s="42"/>
      <c r="F101" s="42">
        <v>322890446</v>
      </c>
      <c r="G101" s="42" t="s">
        <v>518</v>
      </c>
      <c r="H101" s="461" t="s">
        <v>519</v>
      </c>
      <c r="I101" s="461"/>
      <c r="J101" s="461" t="s">
        <v>121</v>
      </c>
      <c r="K101" s="452">
        <v>0.99</v>
      </c>
      <c r="L101" s="461"/>
      <c r="M101" s="459"/>
      <c r="N101" s="461"/>
      <c r="O101" s="461"/>
      <c r="P101" s="461" t="s">
        <v>520</v>
      </c>
      <c r="Q101" s="461">
        <v>322890217</v>
      </c>
      <c r="R101" s="461" t="s">
        <v>521</v>
      </c>
      <c r="S101" s="461"/>
      <c r="T101" s="461"/>
      <c r="U101" s="461"/>
      <c r="V101" s="461"/>
      <c r="W101" s="461"/>
      <c r="X101" s="461"/>
      <c r="Y101" s="461"/>
      <c r="Z101" s="482"/>
      <c r="AA101" s="482"/>
      <c r="AB101" s="495"/>
      <c r="AC101" s="301"/>
      <c r="AD101" s="491"/>
      <c r="AE101" s="450" t="s">
        <v>50</v>
      </c>
      <c r="AF101" s="491"/>
      <c r="AG101" s="42"/>
      <c r="AH101" s="42"/>
      <c r="AI101" s="42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233"/>
      <c r="BB101" s="233"/>
      <c r="BC101" s="233"/>
      <c r="BD101" s="1"/>
      <c r="BE101" s="1"/>
      <c r="BF101" s="1"/>
      <c r="BG101" s="1" t="s">
        <v>73</v>
      </c>
      <c r="BH101" s="532">
        <v>850</v>
      </c>
      <c r="BI101" s="194">
        <v>900</v>
      </c>
      <c r="BJ101" s="561" t="s">
        <v>73</v>
      </c>
      <c r="BK101" s="3" t="s">
        <v>99</v>
      </c>
      <c r="BL101" s="3" t="s">
        <v>100</v>
      </c>
    </row>
    <row r="102" spans="1:115" ht="23" hidden="1" customHeight="1" x14ac:dyDescent="0.35">
      <c r="A102" s="457">
        <v>1726</v>
      </c>
      <c r="B102" s="42" t="s">
        <v>522</v>
      </c>
      <c r="C102" s="299" t="s">
        <v>118</v>
      </c>
      <c r="D102" s="548" t="s">
        <v>57</v>
      </c>
      <c r="E102" s="42"/>
      <c r="F102" s="42">
        <v>287189708</v>
      </c>
      <c r="G102" s="42" t="s">
        <v>523</v>
      </c>
      <c r="H102" s="461" t="s">
        <v>524</v>
      </c>
      <c r="I102" s="461"/>
      <c r="J102" s="461" t="s">
        <v>49</v>
      </c>
      <c r="K102" s="452">
        <v>0</v>
      </c>
      <c r="L102" s="461"/>
      <c r="M102" s="459"/>
      <c r="N102" s="478"/>
      <c r="O102" s="461"/>
      <c r="P102" s="461"/>
      <c r="Q102" s="461"/>
      <c r="R102" s="461"/>
      <c r="S102" s="461"/>
      <c r="T102" s="461"/>
      <c r="U102" s="461"/>
      <c r="V102" s="461"/>
      <c r="W102" s="461"/>
      <c r="X102" s="461"/>
      <c r="Y102" s="461"/>
      <c r="Z102" s="482"/>
      <c r="AA102" s="482"/>
      <c r="AB102" s="495"/>
      <c r="AC102" s="301"/>
      <c r="AD102" s="491"/>
      <c r="AE102" s="450" t="s">
        <v>50</v>
      </c>
      <c r="AF102" s="491"/>
      <c r="AG102" s="42"/>
      <c r="AH102" s="42"/>
      <c r="AI102" s="42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233"/>
      <c r="BB102" s="233"/>
      <c r="BC102" s="233"/>
      <c r="BD102" s="1"/>
      <c r="BE102" s="1"/>
      <c r="BF102" s="1"/>
      <c r="BG102" s="1"/>
      <c r="BH102" s="532"/>
      <c r="BI102" s="194" t="s">
        <v>230</v>
      </c>
      <c r="BJ102" s="1"/>
      <c r="BK102" s="3"/>
      <c r="BL102" s="3"/>
    </row>
    <row r="103" spans="1:115" ht="23" customHeight="1" x14ac:dyDescent="0.35">
      <c r="A103" s="457">
        <v>1698</v>
      </c>
      <c r="B103" s="42" t="s">
        <v>525</v>
      </c>
      <c r="C103" s="546" t="s">
        <v>132</v>
      </c>
      <c r="D103" s="546"/>
      <c r="E103" s="42"/>
      <c r="F103" s="42">
        <v>280879024</v>
      </c>
      <c r="G103" s="42" t="s">
        <v>526</v>
      </c>
      <c r="H103" s="461" t="s">
        <v>527</v>
      </c>
      <c r="I103" s="462"/>
      <c r="J103" s="461" t="s">
        <v>60</v>
      </c>
      <c r="K103" s="452">
        <v>0.99</v>
      </c>
      <c r="L103" s="461"/>
      <c r="M103" s="459"/>
      <c r="N103" s="461"/>
      <c r="O103" s="461"/>
      <c r="P103" s="461" t="s">
        <v>528</v>
      </c>
      <c r="Q103" s="461">
        <v>311135838</v>
      </c>
      <c r="R103" s="461" t="s">
        <v>529</v>
      </c>
      <c r="S103" s="461"/>
      <c r="T103" s="461"/>
      <c r="U103" s="461"/>
      <c r="V103" s="461"/>
      <c r="W103" s="461"/>
      <c r="X103" s="461"/>
      <c r="Y103" s="461"/>
      <c r="Z103" s="482"/>
      <c r="AA103" s="482"/>
      <c r="AB103" s="465"/>
      <c r="AC103" s="301"/>
      <c r="AD103" s="491"/>
      <c r="AE103" s="450" t="s">
        <v>50</v>
      </c>
      <c r="AF103" s="491"/>
      <c r="AG103" s="42"/>
      <c r="AH103" s="42"/>
      <c r="AI103" s="42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233"/>
      <c r="BB103" s="233"/>
      <c r="BC103" s="233"/>
      <c r="BD103" s="1"/>
      <c r="BE103" s="1"/>
      <c r="BF103" s="1"/>
      <c r="BG103" s="1"/>
      <c r="BH103" s="532">
        <v>850</v>
      </c>
      <c r="BI103" s="194">
        <v>900</v>
      </c>
      <c r="BJ103" s="1"/>
      <c r="BK103" s="3"/>
      <c r="BL103" s="3"/>
    </row>
    <row r="104" spans="1:115" ht="23" customHeight="1" x14ac:dyDescent="0.35">
      <c r="A104" s="457">
        <v>1579</v>
      </c>
      <c r="B104" s="42" t="s">
        <v>530</v>
      </c>
      <c r="C104" s="547" t="s">
        <v>66</v>
      </c>
      <c r="D104" s="547"/>
      <c r="E104" s="42"/>
      <c r="F104" s="42" t="s">
        <v>531</v>
      </c>
      <c r="G104" s="42" t="s">
        <v>112</v>
      </c>
      <c r="H104" s="461" t="s">
        <v>532</v>
      </c>
      <c r="I104" s="462"/>
      <c r="J104" s="461" t="s">
        <v>60</v>
      </c>
      <c r="K104" s="452">
        <v>0.99</v>
      </c>
      <c r="L104" s="461"/>
      <c r="M104" s="459"/>
      <c r="N104" s="461"/>
      <c r="O104" s="461"/>
      <c r="P104" s="461"/>
      <c r="Q104" s="461"/>
      <c r="R104" s="461"/>
      <c r="S104" s="461"/>
      <c r="T104" s="461"/>
      <c r="U104" s="461"/>
      <c r="V104" s="461"/>
      <c r="W104" s="461"/>
      <c r="X104" s="461"/>
      <c r="Y104" s="461"/>
      <c r="Z104" s="482"/>
      <c r="AA104" s="482"/>
      <c r="AB104" s="495"/>
      <c r="AC104" s="301"/>
      <c r="AD104" s="491"/>
      <c r="AE104" s="450" t="s">
        <v>50</v>
      </c>
      <c r="AF104" s="491"/>
      <c r="AG104" s="42"/>
      <c r="AH104" s="42"/>
      <c r="AI104" s="42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233"/>
      <c r="BB104" s="233"/>
      <c r="BC104" s="233"/>
      <c r="BD104" s="1"/>
      <c r="BE104" s="1"/>
      <c r="BF104" s="1"/>
      <c r="BG104" s="1"/>
      <c r="BH104" s="532">
        <v>400</v>
      </c>
      <c r="BI104" s="179" t="s">
        <v>375</v>
      </c>
      <c r="BJ104" s="1"/>
      <c r="BK104" s="3"/>
      <c r="BL104" s="3"/>
    </row>
    <row r="105" spans="1:115" ht="23" hidden="1" customHeight="1" x14ac:dyDescent="0.35">
      <c r="A105" s="457">
        <v>1414</v>
      </c>
      <c r="B105" s="299" t="s">
        <v>533</v>
      </c>
      <c r="C105" s="546" t="s">
        <v>132</v>
      </c>
      <c r="D105" s="480"/>
      <c r="E105" s="307"/>
      <c r="F105" s="470">
        <v>307901750</v>
      </c>
      <c r="G105" s="470" t="s">
        <v>534</v>
      </c>
      <c r="H105" s="489" t="s">
        <v>535</v>
      </c>
      <c r="I105" s="492"/>
      <c r="J105" s="307"/>
      <c r="K105" s="452">
        <v>0</v>
      </c>
      <c r="L105" s="490"/>
      <c r="M105" s="497"/>
      <c r="N105" s="411"/>
      <c r="O105" s="42"/>
      <c r="P105" s="307"/>
      <c r="Q105" s="470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65"/>
      <c r="AC105" s="474"/>
      <c r="AD105" s="491"/>
      <c r="AE105" s="450"/>
      <c r="AF105" s="491"/>
      <c r="AG105" s="42"/>
      <c r="AH105" s="42"/>
      <c r="AI105" s="42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233"/>
      <c r="BB105" s="233"/>
      <c r="BC105" s="233"/>
      <c r="BD105" s="1"/>
      <c r="BE105" s="1"/>
      <c r="BF105" s="1"/>
      <c r="BG105" s="1"/>
      <c r="BH105" s="1">
        <v>500</v>
      </c>
      <c r="BI105" s="179" t="s">
        <v>230</v>
      </c>
      <c r="BJ105" s="1"/>
      <c r="BK105" s="3"/>
      <c r="BL105" s="3"/>
    </row>
    <row r="106" spans="1:115" s="457" customFormat="1" ht="23" hidden="1" customHeight="1" x14ac:dyDescent="0.35">
      <c r="A106" s="457">
        <v>1732</v>
      </c>
      <c r="B106" s="457" t="s">
        <v>536</v>
      </c>
      <c r="C106" s="457" t="s">
        <v>81</v>
      </c>
      <c r="D106" s="457" t="s">
        <v>537</v>
      </c>
      <c r="F106" s="457">
        <v>281184240</v>
      </c>
      <c r="G106" s="470" t="s">
        <v>538</v>
      </c>
      <c r="H106" s="457" t="s">
        <v>539</v>
      </c>
      <c r="J106" s="457" t="s">
        <v>1089</v>
      </c>
      <c r="K106" s="452">
        <v>0.05</v>
      </c>
      <c r="N106" s="720"/>
      <c r="BG106" s="457" t="s">
        <v>73</v>
      </c>
      <c r="BH106" s="179" t="s">
        <v>540</v>
      </c>
      <c r="BI106" s="301" t="s">
        <v>541</v>
      </c>
      <c r="BJ106" s="457" t="s">
        <v>73</v>
      </c>
      <c r="BK106" s="448" t="s">
        <v>99</v>
      </c>
      <c r="BL106" s="448" t="s">
        <v>100</v>
      </c>
      <c r="BM106" s="531"/>
    </row>
    <row r="107" spans="1:115" ht="23" hidden="1" customHeight="1" x14ac:dyDescent="0.35">
      <c r="A107" s="457" t="s">
        <v>542</v>
      </c>
      <c r="B107" s="42" t="s">
        <v>543</v>
      </c>
      <c r="C107" s="42"/>
      <c r="D107" s="42" t="s">
        <v>544</v>
      </c>
      <c r="E107" s="42"/>
      <c r="F107" s="42">
        <v>305755404</v>
      </c>
      <c r="G107" s="470" t="s">
        <v>545</v>
      </c>
      <c r="H107" s="1"/>
      <c r="I107" s="402"/>
      <c r="J107" s="478" t="s">
        <v>49</v>
      </c>
      <c r="K107" s="452">
        <v>0</v>
      </c>
      <c r="L107" s="416"/>
      <c r="M107" s="18"/>
      <c r="N107" s="193"/>
      <c r="O107" s="23"/>
      <c r="P107" s="16"/>
      <c r="Q107" s="16"/>
      <c r="R107" s="16"/>
      <c r="S107" s="16"/>
      <c r="T107" s="42"/>
      <c r="U107" s="16"/>
      <c r="V107" s="42"/>
      <c r="W107" s="36"/>
      <c r="X107" s="20"/>
      <c r="Y107" s="20"/>
      <c r="Z107" s="1"/>
      <c r="AA107" s="1"/>
      <c r="AB107" s="253"/>
      <c r="AC107" s="27"/>
      <c r="AD107" s="23"/>
      <c r="AE107" s="192"/>
      <c r="AF107" s="402"/>
      <c r="AG107" s="3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233"/>
      <c r="BB107" s="233"/>
      <c r="BC107" s="233"/>
      <c r="BD107" s="1"/>
      <c r="BE107" s="1"/>
      <c r="BF107" s="1"/>
      <c r="BG107" s="1"/>
      <c r="BH107" s="1"/>
      <c r="BI107" s="179" t="s">
        <v>230</v>
      </c>
      <c r="BJ107" s="1"/>
      <c r="BK107" s="3"/>
      <c r="BL107" s="579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</row>
    <row r="108" spans="1:115" s="457" customFormat="1" ht="23" customHeight="1" x14ac:dyDescent="0.35">
      <c r="A108" s="457" t="s">
        <v>546</v>
      </c>
      <c r="B108" s="457" t="s">
        <v>547</v>
      </c>
      <c r="C108" s="457" t="s">
        <v>81</v>
      </c>
      <c r="D108" s="457" t="s">
        <v>537</v>
      </c>
      <c r="F108" s="42">
        <v>329260197</v>
      </c>
      <c r="G108" s="42" t="s">
        <v>548</v>
      </c>
      <c r="J108" s="457" t="s">
        <v>60</v>
      </c>
      <c r="K108" s="749">
        <v>0.99</v>
      </c>
      <c r="Q108" s="457">
        <v>329260197</v>
      </c>
      <c r="AE108" s="457" t="s">
        <v>50</v>
      </c>
      <c r="BG108" s="457" t="s">
        <v>73</v>
      </c>
      <c r="BH108" s="179" t="s">
        <v>540</v>
      </c>
      <c r="BI108" s="301" t="s">
        <v>230</v>
      </c>
      <c r="BJ108" s="457" t="s">
        <v>73</v>
      </c>
      <c r="BK108" s="448" t="s">
        <v>99</v>
      </c>
      <c r="BL108" s="578" t="s">
        <v>100</v>
      </c>
      <c r="DK108" s="531"/>
    </row>
    <row r="109" spans="1:115" s="601" customFormat="1" ht="23" hidden="1" customHeight="1" x14ac:dyDescent="0.35">
      <c r="A109" s="457" t="s">
        <v>549</v>
      </c>
      <c r="B109" s="457" t="s">
        <v>550</v>
      </c>
      <c r="C109" s="457"/>
      <c r="D109" s="457"/>
      <c r="E109" s="457"/>
      <c r="F109" s="457">
        <v>330417584</v>
      </c>
      <c r="G109" s="470" t="s">
        <v>551</v>
      </c>
      <c r="H109" s="457" t="s">
        <v>552</v>
      </c>
      <c r="I109" s="457"/>
      <c r="J109" s="457" t="s">
        <v>60</v>
      </c>
      <c r="K109" s="452">
        <f>[25]Info!$C$9</f>
        <v>1</v>
      </c>
      <c r="L109" s="457"/>
      <c r="M109" s="457"/>
      <c r="N109" s="457"/>
      <c r="O109" s="457"/>
      <c r="P109" s="457"/>
      <c r="Q109" s="457"/>
      <c r="R109" s="457"/>
      <c r="S109" s="457"/>
      <c r="T109" s="457"/>
      <c r="U109" s="457"/>
      <c r="V109" s="457"/>
      <c r="W109" s="457"/>
      <c r="X109" s="457"/>
      <c r="Y109" s="457"/>
      <c r="Z109" s="457"/>
      <c r="AA109" s="457"/>
      <c r="AB109" s="457"/>
      <c r="AC109" s="457"/>
      <c r="AD109" s="457"/>
      <c r="AE109" s="457"/>
      <c r="AF109" s="457"/>
      <c r="AG109" s="457"/>
      <c r="AH109" s="457"/>
      <c r="AI109" s="457"/>
      <c r="AJ109" s="457"/>
      <c r="AK109" s="457"/>
      <c r="AL109" s="457"/>
      <c r="AM109" s="457"/>
      <c r="AN109" s="457"/>
      <c r="AO109" s="457"/>
      <c r="AP109" s="457"/>
      <c r="AQ109" s="457"/>
      <c r="AR109" s="457"/>
      <c r="AS109" s="457"/>
      <c r="AT109" s="457"/>
      <c r="AU109" s="457"/>
      <c r="AV109" s="457"/>
      <c r="AW109" s="457"/>
      <c r="AX109" s="457"/>
      <c r="AY109" s="457"/>
      <c r="AZ109" s="457"/>
      <c r="BA109" s="457"/>
      <c r="BB109" s="457"/>
      <c r="BC109" s="457"/>
      <c r="BD109" s="457"/>
      <c r="BE109" s="457"/>
      <c r="BF109" s="457"/>
      <c r="BG109" s="457" t="s">
        <v>73</v>
      </c>
      <c r="BH109" s="179"/>
      <c r="BI109" s="301" t="s">
        <v>251</v>
      </c>
      <c r="BJ109" s="457" t="s">
        <v>73</v>
      </c>
      <c r="BK109" s="448" t="s">
        <v>99</v>
      </c>
      <c r="BL109" s="578"/>
      <c r="BM109" s="457"/>
      <c r="BN109" s="457"/>
      <c r="BO109" s="457"/>
      <c r="BP109" s="457"/>
      <c r="BQ109" s="457"/>
      <c r="BR109" s="457"/>
      <c r="BS109" s="457"/>
      <c r="BT109" s="457"/>
      <c r="BU109" s="457"/>
      <c r="BV109" s="457"/>
      <c r="BW109" s="457"/>
      <c r="BX109" s="457"/>
      <c r="BY109" s="457"/>
      <c r="BZ109" s="457"/>
      <c r="CA109" s="457"/>
      <c r="CB109" s="457"/>
      <c r="CC109" s="457"/>
      <c r="CD109" s="457"/>
      <c r="CE109" s="457"/>
      <c r="CF109" s="457"/>
      <c r="CG109" s="457"/>
      <c r="CH109" s="457"/>
      <c r="CI109" s="457"/>
      <c r="CJ109" s="457"/>
      <c r="CK109" s="457"/>
      <c r="CL109" s="457"/>
      <c r="CM109" s="457"/>
      <c r="CN109" s="457"/>
      <c r="CO109" s="457"/>
      <c r="CP109" s="457"/>
      <c r="CQ109" s="457"/>
      <c r="CR109" s="457"/>
      <c r="CS109" s="457"/>
      <c r="CT109" s="457"/>
      <c r="CU109" s="457"/>
      <c r="CV109" s="457"/>
      <c r="CW109" s="457"/>
      <c r="CX109" s="457"/>
      <c r="CY109" s="457"/>
      <c r="CZ109" s="457"/>
      <c r="DA109" s="457"/>
      <c r="DB109" s="457"/>
      <c r="DC109" s="457"/>
      <c r="DD109" s="457"/>
      <c r="DE109" s="457"/>
      <c r="DF109" s="457"/>
      <c r="DG109" s="457"/>
      <c r="DH109" s="457"/>
      <c r="DI109" s="457"/>
      <c r="DJ109" s="457"/>
    </row>
    <row r="110" spans="1:115" s="601" customFormat="1" ht="23" hidden="1" customHeight="1" x14ac:dyDescent="0.35">
      <c r="A110" s="457" t="s">
        <v>553</v>
      </c>
      <c r="B110" s="457" t="s">
        <v>554</v>
      </c>
      <c r="C110" s="457" t="s">
        <v>1092</v>
      </c>
      <c r="D110" s="457"/>
      <c r="E110" s="457"/>
      <c r="F110" s="457">
        <v>317352911</v>
      </c>
      <c r="G110" s="470" t="s">
        <v>1094</v>
      </c>
      <c r="H110" s="627" t="s">
        <v>555</v>
      </c>
      <c r="I110" s="457"/>
      <c r="J110" s="457" t="s">
        <v>1089</v>
      </c>
      <c r="K110" s="452">
        <v>0.05</v>
      </c>
      <c r="L110" s="457"/>
      <c r="M110" s="457"/>
      <c r="N110" s="720"/>
      <c r="O110" s="457"/>
      <c r="P110" s="457"/>
      <c r="Q110" s="457"/>
      <c r="R110" s="457"/>
      <c r="S110" s="457"/>
      <c r="T110" s="457"/>
      <c r="U110" s="457"/>
      <c r="V110" s="457"/>
      <c r="W110" s="457"/>
      <c r="X110" s="457"/>
      <c r="Y110" s="457"/>
      <c r="Z110" s="457"/>
      <c r="AA110" s="457"/>
      <c r="AB110" s="457"/>
      <c r="AC110" s="457"/>
      <c r="AD110" s="457"/>
      <c r="AE110" s="457" t="s">
        <v>50</v>
      </c>
      <c r="AF110" s="457"/>
      <c r="AG110" s="457"/>
      <c r="AH110" s="457"/>
      <c r="AI110" s="457"/>
      <c r="AJ110" s="457"/>
      <c r="AK110" s="457"/>
      <c r="AL110" s="457"/>
      <c r="AM110" s="457"/>
      <c r="AN110" s="457"/>
      <c r="AO110" s="457"/>
      <c r="AP110" s="457"/>
      <c r="AQ110" s="457"/>
      <c r="AR110" s="457"/>
      <c r="AS110" s="457"/>
      <c r="AT110" s="457"/>
      <c r="AU110" s="457"/>
      <c r="AV110" s="457"/>
      <c r="AW110" s="457"/>
      <c r="AX110" s="457"/>
      <c r="AY110" s="457"/>
      <c r="AZ110" s="457"/>
      <c r="BA110" s="457"/>
      <c r="BB110" s="457"/>
      <c r="BC110" s="457"/>
      <c r="BD110" s="457"/>
      <c r="BE110" s="457"/>
      <c r="BF110" s="457"/>
      <c r="BG110" s="457" t="s">
        <v>73</v>
      </c>
      <c r="BH110" s="179" t="s">
        <v>540</v>
      </c>
      <c r="BI110" s="301" t="s">
        <v>230</v>
      </c>
      <c r="BJ110" s="457"/>
      <c r="BK110" s="448" t="s">
        <v>99</v>
      </c>
      <c r="BL110" s="578"/>
      <c r="BM110" s="457"/>
      <c r="BN110" s="457"/>
      <c r="BO110" s="457"/>
      <c r="BP110" s="457"/>
      <c r="BQ110" s="457"/>
      <c r="BR110" s="457"/>
      <c r="BS110" s="457"/>
      <c r="BT110" s="457"/>
      <c r="BU110" s="457"/>
      <c r="BV110" s="457"/>
      <c r="BW110" s="457"/>
      <c r="BX110" s="457"/>
      <c r="BY110" s="457"/>
      <c r="BZ110" s="457"/>
      <c r="CA110" s="457"/>
      <c r="CB110" s="457"/>
      <c r="CC110" s="457"/>
      <c r="CD110" s="457"/>
      <c r="CE110" s="457"/>
      <c r="CF110" s="457"/>
      <c r="CG110" s="457"/>
      <c r="CH110" s="457"/>
      <c r="CI110" s="457"/>
      <c r="CJ110" s="457"/>
      <c r="CK110" s="457"/>
      <c r="CL110" s="457"/>
      <c r="CM110" s="457"/>
      <c r="CN110" s="457"/>
      <c r="CO110" s="457"/>
      <c r="CP110" s="457"/>
      <c r="CQ110" s="457"/>
      <c r="CR110" s="457"/>
      <c r="CS110" s="457"/>
      <c r="CT110" s="457"/>
      <c r="CU110" s="457"/>
      <c r="CV110" s="457"/>
      <c r="CW110" s="457"/>
      <c r="CX110" s="457"/>
      <c r="CY110" s="457"/>
      <c r="CZ110" s="457"/>
      <c r="DA110" s="457"/>
      <c r="DB110" s="457"/>
      <c r="DC110" s="457"/>
      <c r="DD110" s="457"/>
      <c r="DE110" s="457"/>
      <c r="DF110" s="457"/>
      <c r="DG110" s="457"/>
      <c r="DH110" s="457"/>
      <c r="DI110" s="457"/>
      <c r="DJ110" s="457"/>
    </row>
    <row r="111" spans="1:115" s="599" customFormat="1" ht="23" hidden="1" customHeight="1" x14ac:dyDescent="0.35">
      <c r="A111" s="457">
        <v>8164</v>
      </c>
      <c r="B111" s="581" t="s">
        <v>556</v>
      </c>
      <c r="C111" s="582" t="s">
        <v>132</v>
      </c>
      <c r="D111" s="581"/>
      <c r="E111" s="581" t="s">
        <v>557</v>
      </c>
      <c r="F111" s="581">
        <v>314852204</v>
      </c>
      <c r="G111" s="581"/>
      <c r="H111" s="580" t="s">
        <v>558</v>
      </c>
      <c r="I111" s="583"/>
      <c r="J111" s="584"/>
      <c r="K111" s="585"/>
      <c r="L111" s="584"/>
      <c r="M111" s="586"/>
      <c r="N111" s="587"/>
      <c r="O111" s="588"/>
      <c r="P111" s="587"/>
      <c r="Q111" s="587"/>
      <c r="R111" s="587"/>
      <c r="S111" s="587"/>
      <c r="T111" s="581"/>
      <c r="U111" s="587"/>
      <c r="V111" s="581"/>
      <c r="W111" s="589"/>
      <c r="X111" s="590"/>
      <c r="Y111" s="590"/>
      <c r="Z111" s="580"/>
      <c r="AA111" s="580"/>
      <c r="AB111" s="591"/>
      <c r="AC111" s="592"/>
      <c r="AD111" s="588"/>
      <c r="AE111" s="593"/>
      <c r="AF111" s="583"/>
      <c r="AG111" s="594"/>
      <c r="AH111" s="580"/>
      <c r="AI111" s="580"/>
      <c r="AJ111" s="580"/>
      <c r="AK111" s="580"/>
      <c r="AL111" s="580"/>
      <c r="AM111" s="580"/>
      <c r="AN111" s="580"/>
      <c r="AO111" s="580"/>
      <c r="AP111" s="580"/>
      <c r="AQ111" s="580"/>
      <c r="AR111" s="580"/>
      <c r="AS111" s="580"/>
      <c r="AT111" s="580"/>
      <c r="AU111" s="580"/>
      <c r="AV111" s="580"/>
      <c r="AW111" s="580"/>
      <c r="AX111" s="580"/>
      <c r="AY111" s="580"/>
      <c r="AZ111" s="580"/>
      <c r="BA111" s="595"/>
      <c r="BB111" s="595"/>
      <c r="BC111" s="595"/>
      <c r="BD111" s="580"/>
      <c r="BE111" s="580"/>
      <c r="BF111" s="580"/>
      <c r="BG111" s="580"/>
      <c r="BH111" s="580"/>
      <c r="BI111" s="596"/>
      <c r="BJ111" s="580"/>
      <c r="BK111" s="597"/>
      <c r="BL111" s="598"/>
      <c r="BM111" s="580"/>
      <c r="BN111" s="580"/>
      <c r="BO111" s="580"/>
      <c r="BP111" s="580"/>
      <c r="BQ111" s="580"/>
      <c r="BR111" s="580"/>
      <c r="BS111" s="580"/>
      <c r="BT111" s="580"/>
      <c r="BU111" s="580"/>
      <c r="BV111" s="580"/>
      <c r="BW111" s="580"/>
      <c r="BX111" s="580"/>
      <c r="BY111" s="580"/>
      <c r="BZ111" s="580"/>
      <c r="CA111" s="580"/>
      <c r="CB111" s="580"/>
      <c r="CC111" s="580"/>
      <c r="CD111" s="580"/>
      <c r="CE111" s="580"/>
      <c r="CF111" s="580"/>
      <c r="CG111" s="580"/>
      <c r="CH111" s="580"/>
      <c r="CI111" s="580"/>
      <c r="CJ111" s="580"/>
      <c r="CK111" s="580"/>
      <c r="CL111" s="580"/>
      <c r="CM111" s="580"/>
      <c r="CN111" s="580"/>
      <c r="CO111" s="580"/>
      <c r="CP111" s="580"/>
      <c r="CQ111" s="580"/>
      <c r="CR111" s="580"/>
      <c r="CS111" s="580"/>
      <c r="CT111" s="580"/>
      <c r="CU111" s="580"/>
      <c r="CV111" s="580"/>
      <c r="CW111" s="580"/>
      <c r="CX111" s="580"/>
      <c r="CY111" s="580"/>
      <c r="CZ111" s="580"/>
      <c r="DA111" s="580"/>
      <c r="DB111" s="580"/>
      <c r="DC111" s="580"/>
      <c r="DD111" s="580"/>
      <c r="DE111" s="580"/>
      <c r="DF111" s="580"/>
      <c r="DG111" s="580"/>
      <c r="DH111" s="580"/>
      <c r="DI111" s="580"/>
      <c r="DJ111" s="580"/>
    </row>
    <row r="112" spans="1:115" ht="23" hidden="1" customHeight="1" x14ac:dyDescent="0.35">
      <c r="A112" s="457"/>
      <c r="B112" s="398" t="s">
        <v>559</v>
      </c>
      <c r="C112" s="42"/>
      <c r="D112" s="42"/>
      <c r="E112" s="42"/>
      <c r="F112" s="42"/>
      <c r="G112" s="42"/>
      <c r="H112" s="1"/>
      <c r="I112" s="402"/>
      <c r="J112" s="416"/>
      <c r="K112" s="452"/>
      <c r="L112" s="416"/>
      <c r="M112" s="18"/>
      <c r="N112" s="35"/>
      <c r="O112" s="35"/>
      <c r="P112" s="16"/>
      <c r="Q112" s="16"/>
      <c r="R112" s="16"/>
      <c r="S112" s="16"/>
      <c r="T112" s="35"/>
      <c r="U112" s="16"/>
      <c r="V112" s="35"/>
      <c r="W112" s="35"/>
      <c r="X112" s="35"/>
      <c r="Y112" s="35"/>
      <c r="Z112" s="1"/>
      <c r="AA112" s="1"/>
      <c r="AB112" s="35"/>
      <c r="AC112" s="523"/>
      <c r="AD112" s="35"/>
      <c r="AE112" s="192"/>
      <c r="AF112" s="402"/>
      <c r="AG112" s="3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233"/>
      <c r="BB112" s="233"/>
      <c r="BC112" s="233"/>
      <c r="BD112" s="1"/>
      <c r="BE112" s="1"/>
      <c r="BF112" s="1"/>
      <c r="BG112" s="1"/>
      <c r="BH112" s="1"/>
      <c r="BI112" s="179"/>
      <c r="BJ112" s="1"/>
      <c r="BK112" s="3"/>
      <c r="BL112" s="579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</row>
    <row r="113" spans="1:114" ht="23" hidden="1" customHeight="1" x14ac:dyDescent="0.35">
      <c r="A113" s="457">
        <v>1757</v>
      </c>
      <c r="B113" s="306" t="s">
        <v>560</v>
      </c>
      <c r="C113" s="42"/>
      <c r="D113" s="42"/>
      <c r="E113" s="42"/>
      <c r="F113" s="179" t="s">
        <v>561</v>
      </c>
      <c r="G113" s="179" t="s">
        <v>112</v>
      </c>
      <c r="H113" s="1" t="s">
        <v>562</v>
      </c>
      <c r="I113" s="402" t="s">
        <v>51</v>
      </c>
      <c r="J113" s="457" t="s">
        <v>1089</v>
      </c>
      <c r="K113" s="452">
        <v>0.05</v>
      </c>
      <c r="L113" s="416"/>
      <c r="M113" s="18"/>
      <c r="N113" s="181"/>
      <c r="O113" s="20"/>
      <c r="P113" s="16"/>
      <c r="Q113" s="16"/>
      <c r="R113" s="16"/>
      <c r="S113" s="16"/>
      <c r="T113" s="42"/>
      <c r="U113" s="16"/>
      <c r="V113" s="42"/>
      <c r="W113" s="19"/>
      <c r="X113" s="401"/>
      <c r="Y113" s="401"/>
      <c r="Z113" s="1"/>
      <c r="AA113" s="1"/>
      <c r="AB113" s="404"/>
      <c r="AC113" s="441"/>
      <c r="AD113" s="23"/>
      <c r="AE113" s="192"/>
      <c r="AF113" s="402"/>
      <c r="AG113" s="3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233"/>
      <c r="BB113" s="233"/>
      <c r="BC113" s="233"/>
      <c r="BD113" s="1"/>
      <c r="BE113" s="1"/>
      <c r="BF113" s="1"/>
      <c r="BG113" s="1"/>
      <c r="BH113" s="1"/>
      <c r="BI113" s="179"/>
      <c r="BJ113" s="1"/>
      <c r="BK113" s="3"/>
      <c r="BL113" s="579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</row>
    <row r="114" spans="1:114" ht="23" hidden="1" customHeight="1" x14ac:dyDescent="0.35">
      <c r="A114" s="457">
        <v>1748</v>
      </c>
      <c r="B114" s="656" t="s">
        <v>563</v>
      </c>
      <c r="C114" s="524"/>
      <c r="D114" s="524"/>
      <c r="E114" s="42"/>
      <c r="F114" s="42">
        <v>322413869</v>
      </c>
      <c r="G114" s="42" t="s">
        <v>564</v>
      </c>
      <c r="H114" s="1" t="s">
        <v>565</v>
      </c>
      <c r="I114" s="402" t="s">
        <v>51</v>
      </c>
      <c r="J114" s="457" t="s">
        <v>1089</v>
      </c>
      <c r="K114" s="452">
        <v>0.05</v>
      </c>
      <c r="L114" s="416"/>
      <c r="M114" s="18"/>
      <c r="N114" s="515"/>
      <c r="O114" s="1"/>
      <c r="P114" s="16" t="s">
        <v>566</v>
      </c>
      <c r="Q114" s="16" t="s">
        <v>567</v>
      </c>
      <c r="R114" s="16" t="s">
        <v>564</v>
      </c>
      <c r="S114" s="16"/>
      <c r="T114" s="42"/>
      <c r="U114" s="16"/>
      <c r="V114" s="42"/>
      <c r="W114" s="1"/>
      <c r="X114" s="401"/>
      <c r="Y114" s="401"/>
      <c r="Z114" s="1"/>
      <c r="AA114" s="1"/>
      <c r="AB114" s="253"/>
      <c r="AC114" s="27"/>
      <c r="AD114" s="20"/>
      <c r="AE114" s="192"/>
      <c r="AF114" s="402"/>
      <c r="AG114" s="3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233"/>
      <c r="BB114" s="233"/>
      <c r="BC114" s="233"/>
      <c r="BD114" s="1"/>
      <c r="BE114" s="1"/>
      <c r="BF114" s="1"/>
      <c r="BG114" s="1"/>
      <c r="BH114" s="1"/>
      <c r="BI114" s="179"/>
      <c r="BJ114" s="1"/>
      <c r="BK114" s="3"/>
      <c r="BL114" s="579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</row>
    <row r="115" spans="1:114" ht="23" hidden="1" customHeight="1" x14ac:dyDescent="0.35">
      <c r="A115" s="457">
        <v>1760</v>
      </c>
      <c r="B115" s="656" t="s">
        <v>568</v>
      </c>
      <c r="C115" s="525"/>
      <c r="D115" s="525"/>
      <c r="E115" s="42"/>
      <c r="F115" s="42" t="s">
        <v>569</v>
      </c>
      <c r="G115" s="42" t="s">
        <v>570</v>
      </c>
      <c r="H115" s="1" t="s">
        <v>1095</v>
      </c>
      <c r="I115" s="402" t="s">
        <v>51</v>
      </c>
      <c r="J115" s="457" t="s">
        <v>1089</v>
      </c>
      <c r="K115" s="452">
        <v>0</v>
      </c>
      <c r="L115" s="416"/>
      <c r="M115" s="18"/>
      <c r="N115" s="515"/>
      <c r="O115" s="1"/>
      <c r="P115" s="16"/>
      <c r="Q115" s="16"/>
      <c r="R115" s="16"/>
      <c r="S115" s="16"/>
      <c r="T115" s="42"/>
      <c r="U115" s="16"/>
      <c r="V115" s="42"/>
      <c r="W115" s="1"/>
      <c r="X115" s="401"/>
      <c r="Y115" s="401"/>
      <c r="Z115" s="1"/>
      <c r="AA115" s="1"/>
      <c r="AB115" s="253"/>
      <c r="AC115" s="27"/>
      <c r="AD115" s="20"/>
      <c r="AE115" s="192"/>
      <c r="AF115" s="402"/>
      <c r="AG115" s="3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233"/>
      <c r="BB115" s="233"/>
      <c r="BC115" s="233"/>
      <c r="BD115" s="1"/>
      <c r="BE115" s="1"/>
      <c r="BF115" s="1"/>
      <c r="BG115" s="1"/>
      <c r="BH115" s="1"/>
      <c r="BI115" s="179"/>
      <c r="BJ115" s="1"/>
      <c r="BK115" s="3"/>
      <c r="BL115" s="579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</row>
    <row r="116" spans="1:114" ht="23" hidden="1" customHeight="1" x14ac:dyDescent="0.35">
      <c r="A116" s="2"/>
      <c r="B116" s="42"/>
      <c r="C116" s="42"/>
      <c r="D116" s="42"/>
      <c r="E116" s="42"/>
      <c r="F116" s="42"/>
      <c r="G116" s="42"/>
      <c r="H116" s="1"/>
      <c r="I116" s="402"/>
      <c r="J116" s="416"/>
      <c r="K116" s="452"/>
      <c r="L116" s="416"/>
      <c r="M116" s="18"/>
      <c r="N116" s="526" t="s">
        <v>182</v>
      </c>
      <c r="O116" s="24"/>
      <c r="P116" s="16"/>
      <c r="Q116" s="16"/>
      <c r="R116" s="16"/>
      <c r="S116" s="16"/>
      <c r="T116" s="409"/>
      <c r="U116" s="16"/>
      <c r="V116" s="409"/>
      <c r="W116" s="33"/>
      <c r="X116" s="33"/>
      <c r="Y116" s="33"/>
      <c r="Z116" s="1"/>
      <c r="AA116" s="1"/>
      <c r="AB116" s="16"/>
      <c r="AC116" s="24"/>
      <c r="AD116" s="246"/>
      <c r="AE116" s="192"/>
      <c r="AF116" s="402"/>
      <c r="AG116" s="3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233"/>
      <c r="BB116" s="233"/>
      <c r="BC116" s="233"/>
      <c r="BD116" s="1"/>
      <c r="BE116" s="1"/>
      <c r="BF116" s="1"/>
      <c r="BG116" s="1"/>
      <c r="BH116" s="1"/>
      <c r="BI116" s="179"/>
      <c r="BJ116" s="1"/>
      <c r="BK116" s="3"/>
      <c r="BL116" s="579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</row>
    <row r="117" spans="1:114" ht="23" customHeight="1" x14ac:dyDescent="0.35">
      <c r="A117" s="2"/>
      <c r="B117" s="42"/>
      <c r="C117" s="42"/>
      <c r="D117" s="42"/>
      <c r="E117" s="42"/>
      <c r="F117" s="42"/>
      <c r="G117" s="42"/>
      <c r="H117" s="1"/>
      <c r="I117" s="402"/>
      <c r="J117" s="416"/>
      <c r="K117" s="416"/>
      <c r="L117" s="416"/>
      <c r="M117" s="18"/>
      <c r="N117" s="193"/>
      <c r="O117" s="23"/>
      <c r="P117" s="16"/>
      <c r="Q117" s="16"/>
      <c r="R117" s="16"/>
      <c r="S117" s="16"/>
      <c r="T117" s="42"/>
      <c r="U117" s="16"/>
      <c r="V117" s="42"/>
      <c r="W117" s="36"/>
      <c r="X117" s="20"/>
      <c r="Y117" s="20"/>
      <c r="Z117" s="1"/>
      <c r="AA117" s="1"/>
      <c r="AB117" s="253"/>
      <c r="AC117" s="27"/>
      <c r="AD117" s="23"/>
      <c r="AE117" s="192"/>
      <c r="AF117" s="402"/>
      <c r="AG117" s="3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233"/>
      <c r="BB117" s="233"/>
      <c r="BC117" s="233"/>
      <c r="BD117" s="1"/>
      <c r="BE117" s="1"/>
      <c r="BF117" s="1"/>
      <c r="BG117" s="1"/>
      <c r="BH117" s="1"/>
      <c r="BI117" s="179"/>
      <c r="BJ117" s="1"/>
      <c r="BK117" s="3"/>
      <c r="BL117" s="579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</row>
    <row r="118" spans="1:114" ht="23" customHeight="1" x14ac:dyDescent="0.35">
      <c r="A118" s="2"/>
      <c r="B118" s="42"/>
      <c r="C118" s="42"/>
      <c r="D118" s="42"/>
      <c r="E118" s="42"/>
      <c r="F118" s="42"/>
      <c r="G118" s="42"/>
      <c r="H118" s="1"/>
      <c r="I118" s="402"/>
      <c r="J118" s="416"/>
      <c r="K118" s="416"/>
      <c r="L118" s="416"/>
      <c r="M118" s="18"/>
      <c r="N118" s="193" t="s">
        <v>182</v>
      </c>
      <c r="O118" s="23"/>
      <c r="P118" s="16"/>
      <c r="Q118" s="16"/>
      <c r="R118" s="16"/>
      <c r="S118" s="16"/>
      <c r="T118" s="16"/>
      <c r="U118" s="16"/>
      <c r="V118" s="16"/>
      <c r="W118" s="36"/>
      <c r="X118" s="401"/>
      <c r="Y118" s="401"/>
      <c r="Z118" s="1"/>
      <c r="AA118" s="1"/>
      <c r="AB118" s="253"/>
      <c r="AC118" s="27"/>
      <c r="AD118" s="23"/>
      <c r="AE118" s="192" t="s">
        <v>571</v>
      </c>
      <c r="AF118" s="402"/>
      <c r="AG118" s="3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233"/>
      <c r="BB118" s="233"/>
      <c r="BC118" s="233"/>
      <c r="BD118" s="1"/>
      <c r="BE118" s="1"/>
      <c r="BF118" s="1"/>
      <c r="BG118" s="1"/>
      <c r="BH118" s="1"/>
      <c r="BI118" s="179"/>
      <c r="BJ118" s="1"/>
      <c r="BK118" s="3"/>
      <c r="BL118" s="579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</row>
    <row r="119" spans="1:114" ht="23" customHeight="1" x14ac:dyDescent="0.35">
      <c r="A119" s="2"/>
      <c r="B119" s="42"/>
      <c r="C119" s="42"/>
      <c r="D119" s="42"/>
      <c r="E119" s="42"/>
      <c r="F119" s="42"/>
      <c r="G119" s="42"/>
      <c r="H119" s="1"/>
      <c r="I119" s="402"/>
      <c r="J119" s="416"/>
      <c r="K119" s="416"/>
      <c r="L119" s="416"/>
      <c r="M119" s="18"/>
      <c r="N119" s="515"/>
      <c r="O119" s="1"/>
      <c r="P119" s="16"/>
      <c r="Q119" s="16"/>
      <c r="R119" s="16"/>
      <c r="S119" s="16"/>
      <c r="T119" s="16"/>
      <c r="U119" s="16"/>
      <c r="V119" s="16"/>
      <c r="W119" s="1"/>
      <c r="X119" s="1"/>
      <c r="Y119" s="1"/>
      <c r="Z119" s="1"/>
      <c r="AA119" s="1"/>
      <c r="AB119" s="403"/>
      <c r="AC119" s="179"/>
      <c r="AD119" s="402"/>
      <c r="AE119" s="192"/>
      <c r="AF119" s="402"/>
      <c r="AG119" s="3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233"/>
      <c r="BB119" s="233"/>
      <c r="BC119" s="233"/>
      <c r="BD119" s="1"/>
      <c r="BE119" s="1"/>
      <c r="BF119" s="1"/>
      <c r="BG119" s="1"/>
      <c r="BH119" s="1"/>
      <c r="BI119" s="179"/>
      <c r="BJ119" s="1"/>
      <c r="BK119" s="3"/>
      <c r="BL119" s="579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</row>
    <row r="120" spans="1:114" ht="23" customHeight="1" x14ac:dyDescent="0.35">
      <c r="A120" s="2"/>
      <c r="B120" s="42"/>
      <c r="C120" s="42"/>
      <c r="D120" s="42"/>
      <c r="E120" s="42"/>
      <c r="F120" s="42"/>
      <c r="G120" s="42"/>
      <c r="H120" s="1"/>
      <c r="I120" s="402"/>
      <c r="J120" s="416"/>
      <c r="K120" s="416"/>
      <c r="L120" s="416"/>
      <c r="M120" s="18"/>
      <c r="N120" s="181"/>
      <c r="O120" s="20"/>
      <c r="P120" s="16"/>
      <c r="Q120" s="16"/>
      <c r="R120" s="16"/>
      <c r="S120" s="16"/>
      <c r="T120" s="42"/>
      <c r="U120" s="16"/>
      <c r="V120" s="42"/>
      <c r="W120" s="19"/>
      <c r="X120" s="401"/>
      <c r="Y120" s="401"/>
      <c r="Z120" s="1"/>
      <c r="AA120" s="1"/>
      <c r="AB120" s="404"/>
      <c r="AC120" s="441"/>
      <c r="AD120" s="23"/>
      <c r="AE120" s="192" t="s">
        <v>50</v>
      </c>
      <c r="AF120" s="39"/>
      <c r="AG120" s="400"/>
      <c r="AH120" s="246"/>
      <c r="AI120" s="176"/>
      <c r="AJ120" s="176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233"/>
      <c r="BB120" s="233"/>
      <c r="BC120" s="233"/>
      <c r="BD120" s="1"/>
      <c r="BE120" s="1"/>
      <c r="BF120" s="1"/>
      <c r="BG120" s="26"/>
      <c r="BH120" s="253"/>
      <c r="BI120" s="27"/>
      <c r="BJ120" s="399"/>
      <c r="BK120" s="3"/>
      <c r="BL120" s="579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</row>
    <row r="121" spans="1:114" ht="23" customHeight="1" x14ac:dyDescent="0.35">
      <c r="A121" s="2"/>
      <c r="B121" s="42"/>
      <c r="C121" s="42"/>
      <c r="D121" s="42"/>
      <c r="E121" s="42"/>
      <c r="F121" s="42"/>
      <c r="G121" s="42"/>
      <c r="H121" s="1"/>
      <c r="I121" s="402"/>
      <c r="J121" s="416"/>
      <c r="K121" s="416"/>
      <c r="L121" s="416"/>
      <c r="M121" s="18"/>
      <c r="N121" s="515"/>
      <c r="O121" s="1"/>
      <c r="P121" s="16"/>
      <c r="Q121" s="16"/>
      <c r="R121" s="16"/>
      <c r="S121" s="16"/>
      <c r="T121" s="16"/>
      <c r="U121" s="16"/>
      <c r="V121" s="16"/>
      <c r="W121" s="1"/>
      <c r="X121" s="1"/>
      <c r="Y121" s="1"/>
      <c r="Z121" s="1"/>
      <c r="AA121" s="1"/>
      <c r="AB121" s="403"/>
      <c r="AC121" s="403"/>
      <c r="AD121" s="402"/>
      <c r="AE121" s="192"/>
      <c r="AF121" s="402"/>
      <c r="AG121" s="3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233"/>
      <c r="BB121" s="233"/>
      <c r="BC121" s="233"/>
      <c r="BD121" s="1"/>
      <c r="BE121" s="1"/>
      <c r="BF121" s="1"/>
      <c r="BG121" s="1"/>
      <c r="BH121" s="1"/>
      <c r="BI121" s="179"/>
      <c r="BJ121" s="1"/>
      <c r="BK121" s="3"/>
      <c r="BL121" s="579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</row>
    <row r="122" spans="1:114" ht="23" customHeight="1" x14ac:dyDescent="0.35">
      <c r="A122" s="2"/>
      <c r="B122" s="42"/>
      <c r="C122" s="42"/>
      <c r="D122" s="42"/>
      <c r="E122" s="42"/>
      <c r="F122" s="42"/>
      <c r="G122" s="42"/>
      <c r="H122" s="1"/>
      <c r="I122" s="402"/>
      <c r="J122" s="416"/>
      <c r="K122" s="416"/>
      <c r="L122" s="416"/>
      <c r="M122" s="18"/>
      <c r="N122" s="515"/>
      <c r="O122" s="1"/>
      <c r="P122" s="16"/>
      <c r="Q122" s="16"/>
      <c r="R122" s="16"/>
      <c r="S122" s="16"/>
      <c r="T122" s="16"/>
      <c r="U122" s="16"/>
      <c r="V122" s="16"/>
      <c r="W122" s="1"/>
      <c r="X122" s="1"/>
      <c r="Y122" s="1"/>
      <c r="Z122" s="1"/>
      <c r="AA122" s="1"/>
      <c r="AB122" s="403"/>
      <c r="AC122" s="403"/>
      <c r="AD122" s="402"/>
      <c r="AE122" s="192"/>
      <c r="AF122" s="402"/>
      <c r="AG122" s="3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233"/>
      <c r="BB122" s="233"/>
      <c r="BC122" s="233"/>
      <c r="BD122" s="1"/>
      <c r="BE122" s="1"/>
      <c r="BF122" s="1"/>
      <c r="BG122" s="1"/>
      <c r="BH122" s="1"/>
      <c r="BI122" s="403"/>
      <c r="BJ122" s="1"/>
      <c r="BK122" s="3"/>
      <c r="BL122" s="579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</row>
    <row r="123" spans="1:114" ht="23" customHeight="1" x14ac:dyDescent="0.35">
      <c r="A123" s="2"/>
      <c r="B123" s="42"/>
      <c r="C123" s="42"/>
      <c r="D123" s="42"/>
      <c r="E123" s="42"/>
      <c r="F123" s="42"/>
      <c r="G123" s="42"/>
      <c r="H123" s="1"/>
      <c r="I123" s="402"/>
      <c r="J123" s="416"/>
      <c r="K123" s="416"/>
      <c r="L123" s="416"/>
      <c r="M123" s="18"/>
      <c r="N123" s="515"/>
      <c r="O123" s="1"/>
      <c r="P123" s="16"/>
      <c r="Q123" s="16"/>
      <c r="R123" s="16"/>
      <c r="S123" s="16"/>
      <c r="T123" s="16"/>
      <c r="U123" s="16"/>
      <c r="V123" s="16"/>
      <c r="W123" s="1"/>
      <c r="X123" s="1"/>
      <c r="Y123" s="1"/>
      <c r="Z123" s="1"/>
      <c r="AA123" s="1"/>
      <c r="AB123" s="403"/>
      <c r="AC123" s="403"/>
      <c r="AD123" s="402"/>
      <c r="AE123" s="192"/>
      <c r="AF123" s="402"/>
      <c r="AG123" s="3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233"/>
      <c r="BB123" s="233"/>
      <c r="BC123" s="233"/>
      <c r="BD123" s="1"/>
      <c r="BE123" s="1"/>
      <c r="BF123" s="1"/>
      <c r="BG123" s="1"/>
      <c r="BH123" s="1"/>
      <c r="BI123" s="403"/>
      <c r="BJ123" s="1"/>
      <c r="BK123" s="3"/>
      <c r="BL123" s="579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</row>
    <row r="124" spans="1:114" ht="23" customHeight="1" x14ac:dyDescent="0.35">
      <c r="A124" s="2"/>
      <c r="B124" s="42"/>
      <c r="C124" s="42"/>
      <c r="D124" s="42"/>
      <c r="E124" s="42"/>
      <c r="F124" s="42"/>
      <c r="G124" s="42"/>
      <c r="H124" s="1"/>
      <c r="I124" s="402"/>
      <c r="J124" s="416"/>
      <c r="K124" s="1"/>
      <c r="L124" s="416"/>
      <c r="M124" s="18"/>
      <c r="N124" s="515"/>
      <c r="O124" s="1"/>
      <c r="P124" s="16"/>
      <c r="Q124" s="16"/>
      <c r="R124" s="16"/>
      <c r="S124" s="16"/>
      <c r="T124" s="16"/>
      <c r="U124" s="16"/>
      <c r="V124" s="16"/>
      <c r="W124" s="1"/>
      <c r="X124" s="1"/>
      <c r="Y124" s="1"/>
      <c r="Z124" s="1"/>
      <c r="AA124" s="1"/>
      <c r="AB124" s="403"/>
      <c r="AC124" s="403"/>
      <c r="AD124" s="402"/>
      <c r="AE124" s="192"/>
      <c r="AF124" s="402"/>
      <c r="AG124" s="3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233"/>
      <c r="BB124" s="233"/>
      <c r="BC124" s="233"/>
      <c r="BD124" s="1"/>
      <c r="BE124" s="1"/>
      <c r="BF124" s="1"/>
      <c r="BG124" s="1"/>
      <c r="BH124" s="1"/>
      <c r="BI124" s="1"/>
      <c r="BJ124" s="1"/>
      <c r="BK124" s="3"/>
      <c r="BL124" s="579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</row>
    <row r="125" spans="1:114" ht="23" customHeight="1" x14ac:dyDescent="0.35">
      <c r="A125" s="2"/>
      <c r="B125" s="42"/>
      <c r="C125" s="42"/>
      <c r="D125" s="42"/>
      <c r="E125" s="42"/>
      <c r="F125" s="42"/>
      <c r="G125" s="42"/>
      <c r="H125" s="1"/>
      <c r="I125" s="402"/>
      <c r="J125" s="416"/>
      <c r="K125" s="1"/>
      <c r="L125" s="416"/>
      <c r="M125" s="18"/>
      <c r="N125" s="515"/>
      <c r="O125" s="1"/>
      <c r="P125" s="16"/>
      <c r="Q125" s="16"/>
      <c r="R125" s="16"/>
      <c r="S125" s="16"/>
      <c r="T125" s="16"/>
      <c r="U125" s="16"/>
      <c r="V125" s="16"/>
      <c r="W125" s="1"/>
      <c r="X125" s="1"/>
      <c r="Y125" s="1"/>
      <c r="Z125" s="1"/>
      <c r="AA125" s="1"/>
      <c r="AB125" s="403"/>
      <c r="AC125" s="403"/>
      <c r="AD125" s="402"/>
      <c r="AE125" s="192"/>
      <c r="AF125" s="402"/>
      <c r="AG125" s="3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233"/>
      <c r="BB125" s="233"/>
      <c r="BC125" s="233"/>
      <c r="BD125" s="1"/>
      <c r="BE125" s="1"/>
      <c r="BF125" s="1"/>
      <c r="BG125" s="1"/>
      <c r="BH125" s="1"/>
      <c r="BI125" s="1"/>
      <c r="BJ125" s="1"/>
      <c r="BK125" s="3"/>
      <c r="BL125" s="579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</row>
    <row r="126" spans="1:114" ht="23" customHeight="1" x14ac:dyDescent="0.35">
      <c r="A126" s="2"/>
      <c r="B126" s="42"/>
      <c r="C126" s="42"/>
      <c r="D126" s="42"/>
      <c r="E126" s="42"/>
      <c r="F126" s="42"/>
      <c r="G126" s="42"/>
      <c r="H126" s="1"/>
      <c r="I126" s="402"/>
      <c r="J126" s="416"/>
      <c r="K126" s="1"/>
      <c r="L126" s="416"/>
      <c r="M126" s="18"/>
      <c r="N126" s="515"/>
      <c r="O126" s="1"/>
      <c r="P126" s="16"/>
      <c r="Q126" s="16"/>
      <c r="R126" s="16"/>
      <c r="S126" s="16"/>
      <c r="T126" s="16"/>
      <c r="U126" s="16"/>
      <c r="V126" s="16"/>
      <c r="W126" s="1"/>
      <c r="X126" s="1"/>
      <c r="Y126" s="1"/>
      <c r="Z126" s="1"/>
      <c r="AA126" s="1"/>
      <c r="AB126" s="403"/>
      <c r="AC126" s="403"/>
      <c r="AD126" s="402"/>
      <c r="AE126" s="192"/>
      <c r="AF126" s="402"/>
      <c r="AG126" s="3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233"/>
      <c r="BB126" s="233"/>
      <c r="BC126" s="233"/>
      <c r="BD126" s="1"/>
      <c r="BE126" s="1"/>
      <c r="BF126" s="1"/>
      <c r="BG126" s="1"/>
      <c r="BH126" s="1"/>
      <c r="BI126" s="1"/>
      <c r="BJ126" s="1"/>
      <c r="BK126" s="3"/>
      <c r="BL126" s="579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</row>
    <row r="127" spans="1:114" ht="23" customHeight="1" x14ac:dyDescent="0.35">
      <c r="A127" s="2"/>
      <c r="B127" s="42"/>
      <c r="C127" s="42"/>
      <c r="D127" s="42"/>
      <c r="E127" s="42"/>
      <c r="F127" s="42"/>
      <c r="G127" s="42"/>
      <c r="H127" s="1"/>
      <c r="I127" s="402"/>
      <c r="J127" s="416"/>
      <c r="K127" s="1"/>
      <c r="L127" s="416"/>
      <c r="M127" s="18"/>
      <c r="N127" s="515"/>
      <c r="O127" s="1"/>
      <c r="P127" s="16"/>
      <c r="Q127" s="16"/>
      <c r="R127" s="16"/>
      <c r="S127" s="16"/>
      <c r="T127" s="16"/>
      <c r="U127" s="16"/>
      <c r="V127" s="16"/>
      <c r="W127" s="1"/>
      <c r="X127" s="1"/>
      <c r="Y127" s="1"/>
      <c r="Z127" s="1"/>
      <c r="AA127" s="1"/>
      <c r="AB127" s="403"/>
      <c r="AC127" s="403"/>
      <c r="AD127" s="402"/>
      <c r="AE127" s="192"/>
      <c r="AF127" s="402"/>
      <c r="AG127" s="3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233"/>
      <c r="BB127" s="233"/>
      <c r="BC127" s="233"/>
      <c r="BD127" s="1"/>
      <c r="BE127" s="1"/>
      <c r="BF127" s="1"/>
      <c r="BG127" s="1"/>
      <c r="BH127" s="1"/>
      <c r="BI127" s="1"/>
      <c r="BJ127" s="1"/>
      <c r="BK127" s="3"/>
      <c r="BL127" s="579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</row>
    <row r="128" spans="1:114" ht="23" customHeight="1" x14ac:dyDescent="0.35">
      <c r="A128" s="2"/>
      <c r="B128" s="42"/>
      <c r="C128" s="42"/>
      <c r="D128" s="42"/>
      <c r="E128" s="42"/>
      <c r="F128" s="42"/>
      <c r="G128" s="42"/>
      <c r="H128" s="1"/>
      <c r="I128" s="402"/>
      <c r="J128" s="416"/>
      <c r="K128" s="1"/>
      <c r="L128" s="416"/>
      <c r="M128" s="18"/>
      <c r="N128" s="515"/>
      <c r="O128" s="1"/>
      <c r="P128" s="16"/>
      <c r="Q128" s="16"/>
      <c r="R128" s="16"/>
      <c r="S128" s="16"/>
      <c r="T128" s="16"/>
      <c r="U128" s="16"/>
      <c r="V128" s="16"/>
      <c r="W128" s="1"/>
      <c r="X128" s="1"/>
      <c r="Y128" s="1"/>
      <c r="Z128" s="1"/>
      <c r="AA128" s="1"/>
      <c r="AB128" s="403"/>
      <c r="AC128" s="403"/>
      <c r="AD128" s="402"/>
      <c r="AE128" s="192"/>
      <c r="AF128" s="402"/>
      <c r="AG128" s="3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233"/>
      <c r="BB128" s="233"/>
      <c r="BC128" s="233"/>
      <c r="BD128" s="1"/>
      <c r="BE128" s="1"/>
      <c r="BF128" s="1"/>
      <c r="BG128" s="1"/>
      <c r="BH128" s="1"/>
      <c r="BI128" s="1"/>
      <c r="BJ128" s="1"/>
      <c r="BK128" s="3"/>
      <c r="BL128" s="579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</row>
    <row r="129" spans="1:114" ht="23" customHeight="1" x14ac:dyDescent="0.35">
      <c r="A129" s="2"/>
      <c r="B129" s="42"/>
      <c r="C129" s="42"/>
      <c r="D129" s="42"/>
      <c r="E129" s="42"/>
      <c r="F129" s="42"/>
      <c r="G129" s="42"/>
      <c r="H129" s="1"/>
      <c r="I129" s="402"/>
      <c r="J129" s="416"/>
      <c r="K129" s="1"/>
      <c r="L129" s="416"/>
      <c r="M129" s="18"/>
      <c r="N129" s="515"/>
      <c r="O129" s="1"/>
      <c r="P129" s="16"/>
      <c r="Q129" s="16"/>
      <c r="R129" s="16"/>
      <c r="S129" s="16"/>
      <c r="T129" s="16"/>
      <c r="U129" s="16"/>
      <c r="V129" s="16"/>
      <c r="W129" s="1"/>
      <c r="X129" s="1"/>
      <c r="Y129" s="1"/>
      <c r="Z129" s="1"/>
      <c r="AA129" s="1"/>
      <c r="AB129" s="403"/>
      <c r="AC129" s="403"/>
      <c r="AD129" s="402"/>
      <c r="AE129" s="192"/>
      <c r="AF129" s="402"/>
      <c r="AG129" s="3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233"/>
      <c r="BB129" s="233"/>
      <c r="BC129" s="233"/>
      <c r="BD129" s="1"/>
      <c r="BE129" s="1"/>
      <c r="BF129" s="1"/>
      <c r="BG129" s="1"/>
      <c r="BH129" s="1"/>
      <c r="BI129" s="1"/>
      <c r="BJ129" s="1"/>
      <c r="BK129" s="3"/>
      <c r="BL129" s="579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</row>
    <row r="130" spans="1:114" ht="23" customHeight="1" x14ac:dyDescent="0.35">
      <c r="A130" s="2"/>
      <c r="B130" s="42"/>
      <c r="C130" s="42"/>
      <c r="D130" s="42"/>
      <c r="E130" s="42"/>
      <c r="F130" s="42"/>
      <c r="G130" s="42"/>
      <c r="H130" s="1"/>
      <c r="I130" s="402"/>
      <c r="J130" s="416"/>
      <c r="K130" s="1"/>
      <c r="L130" s="416"/>
      <c r="M130" s="18"/>
      <c r="N130" s="515"/>
      <c r="O130" s="1"/>
      <c r="P130" s="16"/>
      <c r="Q130" s="16"/>
      <c r="R130" s="16"/>
      <c r="S130" s="16"/>
      <c r="T130" s="16"/>
      <c r="U130" s="16"/>
      <c r="V130" s="16"/>
      <c r="W130" s="1"/>
      <c r="X130" s="1"/>
      <c r="Y130" s="1"/>
      <c r="Z130" s="1"/>
      <c r="AA130" s="1"/>
      <c r="AB130" s="403"/>
      <c r="AC130" s="403"/>
      <c r="AD130" s="402"/>
      <c r="AE130" s="192"/>
      <c r="AF130" s="402"/>
      <c r="AG130" s="3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233"/>
      <c r="BB130" s="233"/>
      <c r="BC130" s="233"/>
      <c r="BD130" s="1"/>
      <c r="BE130" s="1"/>
      <c r="BF130" s="1"/>
      <c r="BG130" s="1"/>
      <c r="BH130" s="1"/>
      <c r="BI130" s="1"/>
      <c r="BJ130" s="1"/>
      <c r="BK130" s="3"/>
      <c r="BL130" s="579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</row>
    <row r="131" spans="1:114" ht="23" customHeight="1" x14ac:dyDescent="0.35">
      <c r="A131" s="2"/>
      <c r="B131" s="42"/>
      <c r="C131" s="42"/>
      <c r="D131" s="42"/>
      <c r="E131" s="42"/>
      <c r="F131" s="42"/>
      <c r="G131" s="42"/>
      <c r="H131" s="1"/>
      <c r="I131" s="402"/>
      <c r="J131" s="416"/>
      <c r="K131" s="1"/>
      <c r="L131" s="416"/>
      <c r="M131" s="18"/>
      <c r="N131" s="515"/>
      <c r="O131" s="1"/>
      <c r="P131" s="16"/>
      <c r="Q131" s="16"/>
      <c r="R131" s="16"/>
      <c r="S131" s="16"/>
      <c r="T131" s="16"/>
      <c r="U131" s="16"/>
      <c r="V131" s="16"/>
      <c r="W131" s="1"/>
      <c r="X131" s="1"/>
      <c r="Y131" s="1"/>
      <c r="Z131" s="1"/>
      <c r="AA131" s="1"/>
      <c r="AB131" s="403"/>
      <c r="AC131" s="403"/>
      <c r="AD131" s="402"/>
      <c r="AE131" s="192"/>
      <c r="AF131" s="402"/>
      <c r="AG131" s="3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233"/>
      <c r="BB131" s="233"/>
      <c r="BC131" s="233"/>
      <c r="BD131" s="1"/>
      <c r="BE131" s="1"/>
      <c r="BF131" s="1"/>
      <c r="BG131" s="1"/>
      <c r="BH131" s="1"/>
      <c r="BI131" s="1"/>
      <c r="BJ131" s="1"/>
      <c r="BK131" s="3"/>
      <c r="BL131" s="579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</row>
    <row r="132" spans="1:114" ht="23" customHeight="1" x14ac:dyDescent="0.35">
      <c r="A132" s="2"/>
      <c r="B132" s="42"/>
      <c r="C132" s="42"/>
      <c r="D132" s="42"/>
      <c r="E132" s="42"/>
      <c r="F132" s="42"/>
      <c r="G132" s="42"/>
      <c r="H132" s="1"/>
      <c r="I132" s="402"/>
      <c r="J132" s="416"/>
      <c r="K132" s="1"/>
      <c r="L132" s="416"/>
      <c r="M132" s="18"/>
      <c r="N132" s="515"/>
      <c r="O132" s="1"/>
      <c r="P132" s="16"/>
      <c r="Q132" s="16"/>
      <c r="R132" s="16"/>
      <c r="S132" s="16"/>
      <c r="T132" s="16"/>
      <c r="U132" s="16"/>
      <c r="V132" s="16"/>
      <c r="W132" s="1"/>
      <c r="X132" s="1"/>
      <c r="Y132" s="1"/>
      <c r="Z132" s="1"/>
      <c r="AA132" s="1"/>
      <c r="AB132" s="403"/>
      <c r="AC132" s="403"/>
      <c r="AD132" s="402"/>
      <c r="AE132" s="192"/>
      <c r="AF132" s="402"/>
      <c r="AG132" s="3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233"/>
      <c r="BB132" s="233"/>
      <c r="BC132" s="233"/>
      <c r="BD132" s="1"/>
      <c r="BE132" s="1"/>
      <c r="BF132" s="1"/>
      <c r="BG132" s="1"/>
      <c r="BH132" s="1"/>
      <c r="BI132" s="1"/>
      <c r="BJ132" s="1"/>
      <c r="BK132" s="3"/>
      <c r="BL132" s="579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</row>
    <row r="133" spans="1:114" ht="23" customHeight="1" x14ac:dyDescent="0.35">
      <c r="A133" s="2"/>
      <c r="B133" s="42"/>
      <c r="C133" s="42"/>
      <c r="D133" s="42"/>
      <c r="E133" s="42"/>
      <c r="F133" s="42"/>
      <c r="G133" s="42"/>
      <c r="H133" s="1"/>
      <c r="I133" s="402"/>
      <c r="J133" s="416"/>
      <c r="K133" s="1"/>
      <c r="L133" s="416"/>
      <c r="M133" s="18"/>
      <c r="N133" s="515"/>
      <c r="O133" s="1"/>
      <c r="P133" s="16"/>
      <c r="Q133" s="16"/>
      <c r="R133" s="16"/>
      <c r="S133" s="16"/>
      <c r="T133" s="16"/>
      <c r="U133" s="16"/>
      <c r="V133" s="16"/>
      <c r="W133" s="1"/>
      <c r="X133" s="1"/>
      <c r="Y133" s="1"/>
      <c r="Z133" s="1"/>
      <c r="AA133" s="1"/>
      <c r="AB133" s="403"/>
      <c r="AC133" s="403"/>
      <c r="AD133" s="402"/>
      <c r="AE133" s="192"/>
      <c r="AF133" s="402"/>
      <c r="AG133" s="3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233"/>
      <c r="BB133" s="233"/>
      <c r="BC133" s="233"/>
      <c r="BD133" s="1"/>
      <c r="BE133" s="1"/>
      <c r="BF133" s="1"/>
      <c r="BG133" s="1"/>
      <c r="BH133" s="1"/>
      <c r="BI133" s="1"/>
      <c r="BJ133" s="1"/>
      <c r="BK133" s="3"/>
      <c r="BL133" s="579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</row>
    <row r="134" spans="1:114" ht="23" customHeight="1" x14ac:dyDescent="0.35">
      <c r="A134" s="424"/>
      <c r="B134" s="423" t="s">
        <v>572</v>
      </c>
      <c r="C134" s="423"/>
      <c r="D134" s="423"/>
      <c r="E134" s="423"/>
      <c r="F134" s="425"/>
      <c r="G134" s="425"/>
      <c r="H134" s="426"/>
      <c r="I134" s="427"/>
      <c r="J134" s="428"/>
      <c r="K134" s="426"/>
      <c r="L134" s="428"/>
      <c r="M134" s="454"/>
      <c r="N134" s="515"/>
      <c r="O134" s="1"/>
      <c r="P134" s="429"/>
      <c r="Q134" s="429"/>
      <c r="R134" s="429"/>
      <c r="S134" s="22"/>
      <c r="T134" s="16"/>
      <c r="U134" s="22"/>
      <c r="V134" s="16"/>
      <c r="W134" s="1"/>
      <c r="X134" s="1"/>
      <c r="Y134" s="1"/>
      <c r="Z134" s="1"/>
      <c r="AA134" s="1"/>
      <c r="AB134" s="403"/>
      <c r="AC134" s="403"/>
      <c r="AD134" s="402"/>
      <c r="AE134" s="192"/>
      <c r="AF134" s="402"/>
      <c r="AG134" s="3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233"/>
      <c r="BB134" s="233"/>
      <c r="BC134" s="233"/>
      <c r="BD134" s="1"/>
      <c r="BE134" s="1"/>
      <c r="BF134" s="1"/>
      <c r="BG134" s="1"/>
      <c r="BH134" s="1"/>
      <c r="BI134" s="1"/>
      <c r="BJ134" s="1"/>
      <c r="BK134" s="3"/>
      <c r="BL134" s="579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</row>
    <row r="135" spans="1:114" ht="23" customHeight="1" x14ac:dyDescent="0.35">
      <c r="A135" s="313">
        <v>1598</v>
      </c>
      <c r="B135" s="422" t="s">
        <v>573</v>
      </c>
      <c r="C135" s="422"/>
      <c r="D135" s="422"/>
      <c r="E135" s="422"/>
      <c r="F135" s="407" t="s">
        <v>574</v>
      </c>
      <c r="G135" s="414" t="s">
        <v>112</v>
      </c>
      <c r="H135" s="406" t="s">
        <v>575</v>
      </c>
      <c r="I135" s="190"/>
      <c r="J135" s="416" t="s">
        <v>49</v>
      </c>
      <c r="K135" s="43">
        <v>0.1</v>
      </c>
      <c r="L135" s="456"/>
      <c r="M135" s="39"/>
      <c r="N135" s="515"/>
      <c r="O135" s="1"/>
      <c r="P135" s="19" t="s">
        <v>576</v>
      </c>
      <c r="Q135" s="19" t="s">
        <v>577</v>
      </c>
      <c r="R135" s="19" t="s">
        <v>112</v>
      </c>
      <c r="S135" s="42"/>
      <c r="T135" s="16"/>
      <c r="U135" s="42"/>
      <c r="V135" s="16"/>
      <c r="W135" s="1"/>
      <c r="X135" s="1"/>
      <c r="Y135" s="1"/>
      <c r="Z135" s="1"/>
      <c r="AA135" s="1"/>
      <c r="AB135" s="403"/>
      <c r="AC135" s="403"/>
      <c r="AD135" s="402"/>
      <c r="AE135" s="192"/>
      <c r="AF135" s="402"/>
      <c r="AG135" s="3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233"/>
      <c r="BB135" s="233"/>
      <c r="BC135" s="233"/>
      <c r="BD135" s="1"/>
      <c r="BE135" s="1"/>
      <c r="BF135" s="1"/>
      <c r="BG135" s="1"/>
      <c r="BH135" s="1"/>
      <c r="BI135" s="1"/>
      <c r="BJ135" s="1"/>
      <c r="BK135" s="3"/>
      <c r="BL135" s="579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</row>
    <row r="136" spans="1:114" ht="23" customHeight="1" x14ac:dyDescent="0.35">
      <c r="A136" s="313">
        <v>1594</v>
      </c>
      <c r="B136" s="417" t="s">
        <v>578</v>
      </c>
      <c r="C136" s="417"/>
      <c r="D136" s="417"/>
      <c r="E136" s="417"/>
      <c r="F136" s="407" t="s">
        <v>579</v>
      </c>
      <c r="G136" s="407" t="s">
        <v>112</v>
      </c>
      <c r="H136" s="406"/>
      <c r="I136" s="190"/>
      <c r="J136" s="416"/>
      <c r="K136" s="43">
        <v>0.1</v>
      </c>
      <c r="L136" s="456"/>
      <c r="M136" s="39"/>
      <c r="N136" s="515"/>
      <c r="O136" s="1"/>
      <c r="P136" s="35"/>
      <c r="Q136" s="35"/>
      <c r="R136" s="35"/>
      <c r="S136" s="35"/>
      <c r="T136" s="16"/>
      <c r="U136" s="35"/>
      <c r="V136" s="16"/>
      <c r="W136" s="1"/>
      <c r="X136" s="1"/>
      <c r="Y136" s="1"/>
      <c r="Z136" s="1"/>
      <c r="AA136" s="1"/>
      <c r="AB136" s="403"/>
      <c r="AC136" s="403"/>
      <c r="AD136" s="402"/>
      <c r="AE136" s="192"/>
      <c r="AF136" s="402"/>
      <c r="AG136" s="3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233"/>
      <c r="BB136" s="233"/>
      <c r="BC136" s="233"/>
      <c r="BD136" s="1"/>
      <c r="BE136" s="1"/>
      <c r="BF136" s="1"/>
      <c r="BG136" s="1"/>
      <c r="BH136" s="1"/>
      <c r="BI136" s="1"/>
      <c r="BJ136" s="1"/>
      <c r="BK136" s="3"/>
      <c r="BL136" s="579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</row>
    <row r="137" spans="1:114" ht="23" customHeight="1" x14ac:dyDescent="0.35">
      <c r="A137" s="313">
        <v>1637</v>
      </c>
      <c r="B137" s="412" t="s">
        <v>580</v>
      </c>
      <c r="C137" s="412"/>
      <c r="D137" s="412"/>
      <c r="E137" s="412"/>
      <c r="F137" s="415" t="s">
        <v>581</v>
      </c>
      <c r="G137" s="415" t="s">
        <v>112</v>
      </c>
      <c r="H137" s="413"/>
      <c r="I137" s="243">
        <v>45623</v>
      </c>
      <c r="J137" s="416"/>
      <c r="K137" s="43">
        <v>0.1</v>
      </c>
      <c r="L137" s="456"/>
      <c r="M137" s="39"/>
      <c r="N137" s="515"/>
      <c r="O137" s="1"/>
      <c r="P137" s="18"/>
      <c r="Q137" s="179"/>
      <c r="R137" s="42"/>
      <c r="S137" s="42"/>
      <c r="T137" s="16"/>
      <c r="U137" s="42"/>
      <c r="V137" s="16"/>
      <c r="W137" s="1"/>
      <c r="X137" s="1"/>
      <c r="Y137" s="1"/>
      <c r="Z137" s="1"/>
      <c r="AA137" s="1"/>
      <c r="AB137" s="403"/>
      <c r="AC137" s="403"/>
      <c r="AD137" s="402"/>
      <c r="AE137" s="192"/>
      <c r="AF137" s="402"/>
      <c r="AG137" s="3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233"/>
      <c r="BB137" s="233"/>
      <c r="BC137" s="233"/>
      <c r="BD137" s="1"/>
      <c r="BE137" s="1"/>
      <c r="BF137" s="1"/>
      <c r="BG137" s="1"/>
      <c r="BH137" s="1"/>
      <c r="BI137" s="1"/>
      <c r="BJ137" s="1"/>
      <c r="BK137" s="3"/>
      <c r="BL137" s="579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</row>
    <row r="138" spans="1:114" ht="23" customHeight="1" x14ac:dyDescent="0.35">
      <c r="A138" s="313">
        <v>1689</v>
      </c>
      <c r="B138" s="407" t="s">
        <v>582</v>
      </c>
      <c r="C138" s="407"/>
      <c r="D138" s="407"/>
      <c r="E138" s="407"/>
      <c r="F138" s="409">
        <v>291185142</v>
      </c>
      <c r="G138" s="409" t="s">
        <v>583</v>
      </c>
      <c r="H138" s="406"/>
      <c r="I138" s="190"/>
      <c r="J138" s="416"/>
      <c r="K138" s="43">
        <v>0.1</v>
      </c>
      <c r="L138" s="456"/>
      <c r="M138" s="39"/>
      <c r="N138" s="515"/>
      <c r="O138" s="1"/>
      <c r="P138" s="16"/>
      <c r="Q138" s="42"/>
      <c r="R138" s="42"/>
      <c r="S138" s="42"/>
      <c r="T138" s="16"/>
      <c r="U138" s="42"/>
      <c r="V138" s="16"/>
      <c r="W138" s="1"/>
      <c r="X138" s="1"/>
      <c r="Y138" s="1"/>
      <c r="Z138" s="1"/>
      <c r="AA138" s="1"/>
      <c r="AB138" s="403"/>
      <c r="AC138" s="403"/>
      <c r="AD138" s="402"/>
      <c r="AE138" s="192"/>
      <c r="AF138" s="402"/>
      <c r="AG138" s="3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233"/>
      <c r="BB138" s="233"/>
      <c r="BC138" s="233"/>
      <c r="BD138" s="1"/>
      <c r="BE138" s="1"/>
      <c r="BF138" s="1"/>
      <c r="BG138" s="1"/>
      <c r="BH138" s="1"/>
      <c r="BI138" s="1"/>
      <c r="BJ138" s="1"/>
      <c r="BK138" s="3"/>
      <c r="BL138" s="579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</row>
    <row r="139" spans="1:114" ht="23" customHeight="1" x14ac:dyDescent="0.35">
      <c r="A139" s="313">
        <v>1585</v>
      </c>
      <c r="B139" s="421" t="s">
        <v>584</v>
      </c>
      <c r="C139" s="421"/>
      <c r="D139" s="421"/>
      <c r="E139" s="421"/>
      <c r="F139" s="407" t="s">
        <v>585</v>
      </c>
      <c r="G139" s="407" t="s">
        <v>112</v>
      </c>
      <c r="H139" s="406"/>
      <c r="I139" s="190"/>
      <c r="J139" s="416"/>
      <c r="K139" s="43">
        <v>0.1</v>
      </c>
      <c r="L139" s="456"/>
      <c r="M139" s="39"/>
      <c r="N139" s="515"/>
      <c r="O139" s="1"/>
      <c r="P139" s="36"/>
      <c r="Q139" s="36"/>
      <c r="R139" s="42"/>
      <c r="S139" s="42"/>
      <c r="T139" s="16"/>
      <c r="U139" s="42"/>
      <c r="V139" s="16"/>
      <c r="W139" s="1"/>
      <c r="X139" s="1"/>
      <c r="Y139" s="1"/>
      <c r="Z139" s="1"/>
      <c r="AA139" s="1"/>
      <c r="AB139" s="403"/>
      <c r="AC139" s="403"/>
      <c r="AD139" s="402"/>
      <c r="AE139" s="192"/>
      <c r="AF139" s="402"/>
      <c r="AG139" s="3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233"/>
      <c r="BB139" s="233"/>
      <c r="BC139" s="233"/>
      <c r="BD139" s="1"/>
      <c r="BE139" s="1"/>
      <c r="BF139" s="1"/>
      <c r="BG139" s="1"/>
      <c r="BH139" s="1"/>
      <c r="BI139" s="1"/>
      <c r="BJ139" s="1"/>
      <c r="BK139" s="3"/>
      <c r="BL139" s="579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</row>
    <row r="140" spans="1:114" ht="23" customHeight="1" x14ac:dyDescent="0.35">
      <c r="A140" s="418">
        <v>1597</v>
      </c>
      <c r="B140" s="410" t="s">
        <v>586</v>
      </c>
      <c r="C140" s="410"/>
      <c r="D140" s="410"/>
      <c r="E140" s="410"/>
      <c r="F140" s="408">
        <v>314968164</v>
      </c>
      <c r="G140" s="408" t="s">
        <v>587</v>
      </c>
      <c r="H140" s="406" t="s">
        <v>588</v>
      </c>
      <c r="I140" s="35"/>
      <c r="J140" s="416"/>
      <c r="K140" s="43">
        <v>0.1</v>
      </c>
      <c r="L140" s="416"/>
      <c r="M140" s="18" t="s">
        <v>589</v>
      </c>
      <c r="N140" s="515"/>
      <c r="O140" s="1"/>
      <c r="P140" s="16"/>
      <c r="Q140" s="16"/>
      <c r="R140" s="16"/>
      <c r="S140" s="16"/>
      <c r="T140" s="16"/>
      <c r="U140" s="16"/>
      <c r="V140" s="16"/>
      <c r="W140" s="1"/>
      <c r="X140" s="1"/>
      <c r="Y140" s="1"/>
      <c r="Z140" s="1"/>
      <c r="AA140" s="1"/>
      <c r="AB140" s="403"/>
      <c r="AC140" s="403"/>
      <c r="AD140" s="402"/>
      <c r="AE140" s="192"/>
      <c r="AF140" s="402"/>
      <c r="AG140" s="3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233"/>
      <c r="BB140" s="233"/>
      <c r="BC140" s="233"/>
      <c r="BD140" s="1"/>
      <c r="BE140" s="1"/>
      <c r="BF140" s="1"/>
      <c r="BG140" s="1"/>
      <c r="BH140" s="1"/>
      <c r="BI140" s="1"/>
      <c r="BJ140" s="1"/>
      <c r="BK140" s="3"/>
      <c r="BL140" s="579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</row>
    <row r="141" spans="1:114" ht="23" customHeight="1" x14ac:dyDescent="0.35">
      <c r="A141" s="2"/>
      <c r="B141" s="42"/>
      <c r="C141" s="42"/>
      <c r="D141" s="42"/>
      <c r="E141" s="42"/>
      <c r="F141" s="42"/>
      <c r="G141" s="42"/>
      <c r="H141" s="1"/>
      <c r="I141" s="402"/>
      <c r="J141" s="416"/>
      <c r="K141" s="1"/>
      <c r="L141" s="416"/>
      <c r="M141" s="18"/>
      <c r="N141" s="515"/>
      <c r="O141" s="1"/>
      <c r="P141" s="16"/>
      <c r="Q141" s="16"/>
      <c r="R141" s="16"/>
      <c r="S141" s="16"/>
      <c r="T141" s="16"/>
      <c r="U141" s="16"/>
      <c r="V141" s="16"/>
      <c r="W141" s="1"/>
      <c r="X141" s="1"/>
      <c r="Y141" s="1"/>
      <c r="Z141" s="1"/>
      <c r="AA141" s="1"/>
      <c r="AB141" s="403"/>
      <c r="AC141" s="403"/>
      <c r="AD141" s="402"/>
      <c r="AE141" s="192"/>
      <c r="AF141" s="402"/>
      <c r="AG141" s="3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233"/>
      <c r="BB141" s="233"/>
      <c r="BC141" s="233"/>
      <c r="BD141" s="1"/>
      <c r="BE141" s="1"/>
      <c r="BF141" s="1"/>
      <c r="BG141" s="1"/>
      <c r="BH141" s="1"/>
      <c r="BI141" s="1"/>
      <c r="BJ141" s="1"/>
      <c r="BK141" s="3"/>
      <c r="BL141" s="579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</row>
    <row r="142" spans="1:114" ht="23" customHeight="1" x14ac:dyDescent="0.35">
      <c r="A142" s="2"/>
      <c r="B142" s="42"/>
      <c r="C142" s="42"/>
      <c r="D142" s="42"/>
      <c r="E142" s="42"/>
      <c r="F142" s="42"/>
      <c r="G142" s="42"/>
      <c r="H142" s="1"/>
      <c r="I142" s="402"/>
      <c r="J142" s="416"/>
      <c r="K142" s="1"/>
      <c r="L142" s="416"/>
      <c r="M142" s="18"/>
      <c r="N142" s="515"/>
      <c r="O142" s="1"/>
      <c r="P142" s="16"/>
      <c r="Q142" s="16"/>
      <c r="R142" s="16"/>
      <c r="S142" s="16"/>
      <c r="T142" s="16"/>
      <c r="U142" s="16"/>
      <c r="V142" s="16"/>
      <c r="W142" s="1"/>
      <c r="X142" s="1"/>
      <c r="Y142" s="1"/>
      <c r="Z142" s="1"/>
      <c r="AA142" s="1"/>
      <c r="AB142" s="403"/>
      <c r="AC142" s="403"/>
      <c r="AD142" s="402"/>
      <c r="AE142" s="192"/>
      <c r="AF142" s="402"/>
      <c r="AG142" s="3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233"/>
      <c r="BB142" s="233"/>
      <c r="BC142" s="233"/>
      <c r="BD142" s="1"/>
      <c r="BE142" s="1"/>
      <c r="BF142" s="1"/>
      <c r="BG142" s="1"/>
      <c r="BH142" s="1"/>
      <c r="BI142" s="1"/>
      <c r="BJ142" s="1"/>
      <c r="BK142" s="3"/>
      <c r="BL142" s="579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</row>
    <row r="143" spans="1:114" ht="23" customHeight="1" x14ac:dyDescent="0.35">
      <c r="A143" s="2"/>
      <c r="B143" s="42"/>
      <c r="C143" s="42"/>
      <c r="D143" s="42"/>
      <c r="E143" s="42"/>
      <c r="F143" s="42"/>
      <c r="G143" s="42"/>
      <c r="H143" s="1"/>
      <c r="I143" s="402"/>
      <c r="J143" s="416"/>
      <c r="K143" s="1"/>
      <c r="L143" s="416"/>
      <c r="M143" s="18"/>
      <c r="N143" s="515"/>
      <c r="O143" s="1"/>
      <c r="P143" s="16"/>
      <c r="Q143" s="16"/>
      <c r="R143" s="16"/>
      <c r="S143" s="16"/>
      <c r="T143" s="16"/>
      <c r="U143" s="16"/>
      <c r="V143" s="16"/>
      <c r="W143" s="1"/>
      <c r="X143" s="1"/>
      <c r="Y143" s="1"/>
      <c r="Z143" s="1"/>
      <c r="AA143" s="1"/>
      <c r="AB143" s="403"/>
      <c r="AC143" s="403"/>
      <c r="AD143" s="402"/>
      <c r="AE143" s="192"/>
      <c r="AF143" s="402"/>
      <c r="AG143" s="3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233"/>
      <c r="BB143" s="233"/>
      <c r="BC143" s="233"/>
      <c r="BD143" s="1"/>
      <c r="BE143" s="1"/>
      <c r="BF143" s="1"/>
      <c r="BG143" s="1"/>
      <c r="BH143" s="1"/>
      <c r="BI143" s="1"/>
      <c r="BJ143" s="1"/>
      <c r="BK143" s="3"/>
      <c r="BL143" s="579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</row>
    <row r="144" spans="1:114" ht="23" customHeight="1" x14ac:dyDescent="0.35">
      <c r="A144" s="457">
        <v>1322</v>
      </c>
      <c r="B144" s="411" t="s">
        <v>192</v>
      </c>
      <c r="C144" s="547" t="s">
        <v>66</v>
      </c>
      <c r="D144" s="547"/>
      <c r="E144" s="411"/>
      <c r="F144" s="411" t="s">
        <v>193</v>
      </c>
      <c r="G144" s="411" t="s">
        <v>194</v>
      </c>
      <c r="H144" s="478" t="s">
        <v>195</v>
      </c>
      <c r="I144" s="478"/>
      <c r="J144" s="478"/>
      <c r="K144" s="452">
        <v>0</v>
      </c>
      <c r="L144" s="478"/>
      <c r="M144" s="459"/>
      <c r="N144" s="478"/>
      <c r="O144" s="461"/>
      <c r="P144" s="478"/>
      <c r="Q144" s="478"/>
      <c r="R144" s="478"/>
      <c r="S144" s="478"/>
      <c r="T144" s="478"/>
      <c r="U144" s="478"/>
      <c r="V144" s="478"/>
      <c r="W144" s="478"/>
      <c r="X144" s="463"/>
      <c r="Y144" s="463"/>
      <c r="Z144" s="464"/>
      <c r="AA144" s="464"/>
      <c r="AB144" s="465"/>
      <c r="AC144" s="474"/>
      <c r="AD144" s="491"/>
      <c r="AE144" s="450" t="s">
        <v>50</v>
      </c>
      <c r="AF144" s="450"/>
      <c r="AG144" s="480"/>
      <c r="AH144" s="307"/>
      <c r="AI144" s="450"/>
      <c r="AJ144" s="176"/>
      <c r="AK144" s="1"/>
      <c r="AL144" s="1"/>
      <c r="AM144" s="1"/>
      <c r="AN144" s="1"/>
      <c r="AO144" s="1" t="s">
        <v>51</v>
      </c>
      <c r="AP144" s="1"/>
      <c r="AQ144" s="1" t="s">
        <v>51</v>
      </c>
      <c r="AR144" s="1"/>
      <c r="AS144" s="1"/>
      <c r="AT144" s="1"/>
      <c r="AU144" s="1"/>
      <c r="AV144" s="1"/>
      <c r="AW144" s="1"/>
      <c r="AX144" s="1"/>
      <c r="AY144" s="1"/>
      <c r="AZ144" s="1"/>
      <c r="BA144" s="233"/>
      <c r="BB144" s="233"/>
      <c r="BC144" s="233"/>
      <c r="BD144" s="1"/>
      <c r="BE144" s="1"/>
      <c r="BF144" s="1"/>
      <c r="BG144" s="23"/>
      <c r="BH144" s="253">
        <v>500</v>
      </c>
      <c r="BI144" s="253">
        <v>550</v>
      </c>
      <c r="BJ144" s="23"/>
      <c r="BK144" s="3"/>
      <c r="BL144" s="3"/>
    </row>
    <row r="145" spans="1:114" ht="23" customHeight="1" x14ac:dyDescent="0.35">
      <c r="A145" s="2"/>
      <c r="B145" s="42"/>
      <c r="C145" s="42"/>
      <c r="D145" s="42"/>
      <c r="E145" s="42"/>
      <c r="F145" s="42"/>
      <c r="G145" s="42"/>
      <c r="H145" s="1"/>
      <c r="I145" s="402"/>
      <c r="J145" s="416"/>
      <c r="K145" s="1"/>
      <c r="L145" s="416"/>
      <c r="M145" s="18"/>
      <c r="N145" s="515"/>
      <c r="O145" s="1"/>
      <c r="P145" s="16"/>
      <c r="Q145" s="16"/>
      <c r="R145" s="16"/>
      <c r="S145" s="16"/>
      <c r="T145" s="16"/>
      <c r="U145" s="16"/>
      <c r="V145" s="16"/>
      <c r="W145" s="1"/>
      <c r="X145" s="1"/>
      <c r="Y145" s="1"/>
      <c r="Z145" s="1"/>
      <c r="AA145" s="1"/>
      <c r="AB145" s="403"/>
      <c r="AC145" s="403"/>
      <c r="AD145" s="402"/>
      <c r="AE145" s="192"/>
      <c r="AF145" s="402"/>
      <c r="AG145" s="3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233"/>
      <c r="BB145" s="233"/>
      <c r="BC145" s="233"/>
      <c r="BD145" s="1"/>
      <c r="BE145" s="1"/>
      <c r="BF145" s="1"/>
      <c r="BG145" s="1"/>
      <c r="BH145" s="1"/>
      <c r="BI145" s="1"/>
      <c r="BJ145" s="1"/>
      <c r="BK145" s="3"/>
      <c r="BL145" s="579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</row>
    <row r="146" spans="1:114" ht="23" customHeight="1" x14ac:dyDescent="0.35">
      <c r="A146" s="2"/>
      <c r="B146" s="42"/>
      <c r="C146" s="42"/>
      <c r="D146" s="42"/>
      <c r="E146" s="42"/>
      <c r="F146" s="42"/>
      <c r="G146" s="42"/>
      <c r="H146" s="1"/>
      <c r="I146" s="402"/>
      <c r="J146" s="416"/>
      <c r="K146" s="1"/>
      <c r="L146" s="416"/>
      <c r="M146" s="18"/>
      <c r="N146" s="515"/>
      <c r="O146" s="1"/>
      <c r="P146" s="16"/>
      <c r="Q146" s="16"/>
      <c r="R146" s="16"/>
      <c r="S146" s="16"/>
      <c r="T146" s="16"/>
      <c r="U146" s="16"/>
      <c r="V146" s="16"/>
      <c r="W146" s="1"/>
      <c r="X146" s="1"/>
      <c r="Y146" s="1"/>
      <c r="Z146" s="1"/>
      <c r="AA146" s="1"/>
      <c r="AB146" s="403"/>
      <c r="AC146" s="403"/>
      <c r="AD146" s="402"/>
      <c r="AE146" s="192"/>
      <c r="AF146" s="402"/>
      <c r="AG146" s="3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233"/>
      <c r="BB146" s="233"/>
      <c r="BC146" s="233"/>
      <c r="BD146" s="1"/>
      <c r="BE146" s="1"/>
      <c r="BF146" s="1"/>
      <c r="BG146" s="1"/>
      <c r="BH146" s="1"/>
      <c r="BI146" s="1"/>
      <c r="BJ146" s="1"/>
      <c r="BK146" s="3"/>
      <c r="BL146" s="579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</row>
    <row r="147" spans="1:114" ht="23" customHeight="1" x14ac:dyDescent="0.35"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</row>
    <row r="148" spans="1:114" ht="23" customHeight="1" x14ac:dyDescent="0.35"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</row>
    <row r="149" spans="1:114" ht="23" customHeight="1" x14ac:dyDescent="0.35"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</row>
    <row r="150" spans="1:114" ht="23" customHeight="1" x14ac:dyDescent="0.35"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</row>
    <row r="151" spans="1:114" ht="23" customHeight="1" x14ac:dyDescent="0.35"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</row>
    <row r="152" spans="1:114" ht="23" customHeight="1" x14ac:dyDescent="0.35"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</row>
    <row r="153" spans="1:114" ht="23" customHeight="1" x14ac:dyDescent="0.35"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</row>
    <row r="154" spans="1:114" ht="23" customHeight="1" x14ac:dyDescent="0.35"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</row>
    <row r="155" spans="1:114" ht="23" customHeight="1" x14ac:dyDescent="0.35"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</row>
    <row r="156" spans="1:114" ht="23" customHeight="1" x14ac:dyDescent="0.35"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</row>
    <row r="157" spans="1:114" ht="23" customHeight="1" x14ac:dyDescent="0.35"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</row>
    <row r="158" spans="1:114" ht="23" customHeight="1" x14ac:dyDescent="0.35"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</row>
    <row r="159" spans="1:114" ht="23" customHeight="1" x14ac:dyDescent="0.35"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</row>
    <row r="160" spans="1:114" ht="23" customHeight="1" x14ac:dyDescent="0.35"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</row>
    <row r="161" spans="65:114" ht="23" customHeight="1" x14ac:dyDescent="0.35"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</row>
    <row r="162" spans="65:114" ht="23" customHeight="1" x14ac:dyDescent="0.35"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</row>
    <row r="163" spans="65:114" ht="23" customHeight="1" x14ac:dyDescent="0.35"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</row>
    <row r="164" spans="65:114" ht="23" customHeight="1" x14ac:dyDescent="0.35"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</row>
    <row r="165" spans="65:114" ht="23" customHeight="1" x14ac:dyDescent="0.35"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</row>
    <row r="166" spans="65:114" ht="23" customHeight="1" x14ac:dyDescent="0.35"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</row>
    <row r="167" spans="65:114" ht="23" customHeight="1" x14ac:dyDescent="0.35"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</row>
    <row r="168" spans="65:114" ht="23" customHeight="1" x14ac:dyDescent="0.35"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</row>
    <row r="169" spans="65:114" ht="23" customHeight="1" x14ac:dyDescent="0.35"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</row>
    <row r="170" spans="65:114" ht="23" customHeight="1" x14ac:dyDescent="0.35"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</row>
    <row r="171" spans="65:114" ht="23" customHeight="1" x14ac:dyDescent="0.35"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</row>
    <row r="172" spans="65:114" ht="23" customHeight="1" x14ac:dyDescent="0.35"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</row>
    <row r="173" spans="65:114" ht="23" customHeight="1" x14ac:dyDescent="0.35"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</row>
    <row r="174" spans="65:114" ht="23" customHeight="1" x14ac:dyDescent="0.35"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</row>
    <row r="175" spans="65:114" ht="23" customHeight="1" x14ac:dyDescent="0.35"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</row>
    <row r="176" spans="65:114" ht="23" customHeight="1" x14ac:dyDescent="0.35"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</row>
    <row r="177" spans="65:114" ht="23" customHeight="1" x14ac:dyDescent="0.35"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</row>
    <row r="178" spans="65:114" ht="23" customHeight="1" x14ac:dyDescent="0.35"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</row>
    <row r="179" spans="65:114" ht="23" customHeight="1" x14ac:dyDescent="0.35"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</row>
    <row r="180" spans="65:114" ht="23" customHeight="1" x14ac:dyDescent="0.35"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</row>
    <row r="181" spans="65:114" ht="23" customHeight="1" x14ac:dyDescent="0.35"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</row>
    <row r="182" spans="65:114" ht="23" customHeight="1" x14ac:dyDescent="0.35"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</row>
    <row r="183" spans="65:114" ht="23" customHeight="1" x14ac:dyDescent="0.35"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</row>
    <row r="184" spans="65:114" ht="23" customHeight="1" x14ac:dyDescent="0.35"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</row>
    <row r="185" spans="65:114" ht="23" customHeight="1" x14ac:dyDescent="0.35"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</row>
    <row r="186" spans="65:114" ht="23" customHeight="1" x14ac:dyDescent="0.35"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</row>
    <row r="187" spans="65:114" ht="23" customHeight="1" x14ac:dyDescent="0.35"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</row>
    <row r="188" spans="65:114" ht="23" customHeight="1" x14ac:dyDescent="0.35"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</row>
    <row r="189" spans="65:114" ht="23" customHeight="1" x14ac:dyDescent="0.35"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</row>
    <row r="190" spans="65:114" ht="23" customHeight="1" x14ac:dyDescent="0.35"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</row>
    <row r="191" spans="65:114" ht="23" customHeight="1" x14ac:dyDescent="0.35"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</row>
    <row r="192" spans="65:114" ht="23" customHeight="1" x14ac:dyDescent="0.35"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</row>
    <row r="193" spans="65:114" ht="23" customHeight="1" x14ac:dyDescent="0.35"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</row>
    <row r="194" spans="65:114" ht="23" customHeight="1" x14ac:dyDescent="0.35"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</row>
    <row r="195" spans="65:114" ht="23" customHeight="1" x14ac:dyDescent="0.35"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</row>
    <row r="196" spans="65:114" ht="23" customHeight="1" x14ac:dyDescent="0.35"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</row>
    <row r="197" spans="65:114" ht="23" customHeight="1" x14ac:dyDescent="0.35"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</row>
    <row r="198" spans="65:114" ht="23" customHeight="1" x14ac:dyDescent="0.35"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</row>
    <row r="199" spans="65:114" ht="23" customHeight="1" x14ac:dyDescent="0.35"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</row>
    <row r="200" spans="65:114" ht="23" customHeight="1" x14ac:dyDescent="0.35"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</row>
    <row r="201" spans="65:114" ht="23" customHeight="1" x14ac:dyDescent="0.35"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</row>
    <row r="202" spans="65:114" ht="23" customHeight="1" x14ac:dyDescent="0.35"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</row>
    <row r="203" spans="65:114" ht="23" customHeight="1" x14ac:dyDescent="0.35"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</row>
    <row r="204" spans="65:114" ht="23" customHeight="1" x14ac:dyDescent="0.35"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</row>
    <row r="205" spans="65:114" ht="23" customHeight="1" x14ac:dyDescent="0.35"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</row>
    <row r="206" spans="65:114" ht="23" customHeight="1" x14ac:dyDescent="0.35"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</row>
    <row r="207" spans="65:114" ht="23" customHeight="1" x14ac:dyDescent="0.35"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</row>
    <row r="208" spans="65:114" ht="23" customHeight="1" x14ac:dyDescent="0.35"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</row>
    <row r="209" spans="65:114" ht="23" customHeight="1" x14ac:dyDescent="0.35"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</row>
    <row r="210" spans="65:114" ht="23" customHeight="1" x14ac:dyDescent="0.35"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</row>
    <row r="211" spans="65:114" ht="23" customHeight="1" x14ac:dyDescent="0.35"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</row>
    <row r="212" spans="65:114" ht="23" customHeight="1" x14ac:dyDescent="0.35"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</row>
    <row r="213" spans="65:114" ht="23" customHeight="1" x14ac:dyDescent="0.35"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</row>
    <row r="214" spans="65:114" ht="23" customHeight="1" x14ac:dyDescent="0.35"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</row>
    <row r="215" spans="65:114" ht="23" customHeight="1" x14ac:dyDescent="0.35"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</row>
    <row r="216" spans="65:114" ht="23" customHeight="1" x14ac:dyDescent="0.35"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</row>
    <row r="217" spans="65:114" ht="23" customHeight="1" x14ac:dyDescent="0.35"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</row>
    <row r="218" spans="65:114" ht="23" customHeight="1" x14ac:dyDescent="0.35"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</row>
    <row r="219" spans="65:114" ht="23" customHeight="1" x14ac:dyDescent="0.35"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</row>
    <row r="220" spans="65:114" ht="23" customHeight="1" x14ac:dyDescent="0.35"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</row>
    <row r="221" spans="65:114" ht="23" customHeight="1" x14ac:dyDescent="0.35"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</row>
    <row r="222" spans="65:114" ht="23" customHeight="1" x14ac:dyDescent="0.35"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</row>
    <row r="223" spans="65:114" ht="23" customHeight="1" x14ac:dyDescent="0.35"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</row>
    <row r="224" spans="65:114" ht="23" customHeight="1" x14ac:dyDescent="0.35"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</row>
    <row r="225" spans="65:114" ht="23" customHeight="1" x14ac:dyDescent="0.35"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</row>
    <row r="226" spans="65:114" ht="23" customHeight="1" x14ac:dyDescent="0.35"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</row>
    <row r="227" spans="65:114" ht="23" customHeight="1" x14ac:dyDescent="0.35"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</row>
    <row r="228" spans="65:114" ht="23" customHeight="1" x14ac:dyDescent="0.35"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</row>
    <row r="229" spans="65:114" ht="23" customHeight="1" x14ac:dyDescent="0.35"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</row>
    <row r="230" spans="65:114" ht="23" customHeight="1" x14ac:dyDescent="0.35"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</row>
    <row r="231" spans="65:114" ht="23" customHeight="1" x14ac:dyDescent="0.35"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</row>
    <row r="232" spans="65:114" ht="23" customHeight="1" x14ac:dyDescent="0.35"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</row>
    <row r="233" spans="65:114" ht="23" customHeight="1" x14ac:dyDescent="0.35"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</row>
    <row r="234" spans="65:114" ht="23" customHeight="1" x14ac:dyDescent="0.35"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</row>
    <row r="235" spans="65:114" ht="23" customHeight="1" x14ac:dyDescent="0.35"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</row>
    <row r="236" spans="65:114" ht="23" customHeight="1" x14ac:dyDescent="0.35"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</row>
    <row r="237" spans="65:114" ht="23" customHeight="1" x14ac:dyDescent="0.35"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</row>
    <row r="238" spans="65:114" ht="23" customHeight="1" x14ac:dyDescent="0.35"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</row>
    <row r="239" spans="65:114" ht="23" customHeight="1" x14ac:dyDescent="0.35"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</row>
    <row r="240" spans="65:114" ht="23" customHeight="1" x14ac:dyDescent="0.35"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</row>
    <row r="241" spans="65:114" ht="23" customHeight="1" x14ac:dyDescent="0.35"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</row>
    <row r="242" spans="65:114" ht="23" customHeight="1" x14ac:dyDescent="0.35"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</row>
    <row r="243" spans="65:114" ht="23" customHeight="1" x14ac:dyDescent="0.35"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</row>
    <row r="244" spans="65:114" ht="23" customHeight="1" x14ac:dyDescent="0.35"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</row>
    <row r="245" spans="65:114" ht="23" customHeight="1" x14ac:dyDescent="0.35"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</row>
    <row r="246" spans="65:114" ht="23" customHeight="1" x14ac:dyDescent="0.35"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</row>
    <row r="247" spans="65:114" ht="23" customHeight="1" x14ac:dyDescent="0.35"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</row>
    <row r="248" spans="65:114" ht="23" customHeight="1" x14ac:dyDescent="0.35"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</row>
    <row r="249" spans="65:114" ht="23" customHeight="1" x14ac:dyDescent="0.35"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</row>
    <row r="250" spans="65:114" ht="23" customHeight="1" x14ac:dyDescent="0.35"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</row>
    <row r="251" spans="65:114" ht="23" customHeight="1" x14ac:dyDescent="0.35"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</row>
    <row r="252" spans="65:114" ht="23" customHeight="1" x14ac:dyDescent="0.35"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</row>
    <row r="253" spans="65:114" ht="23" customHeight="1" x14ac:dyDescent="0.35"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</row>
    <row r="254" spans="65:114" ht="23" customHeight="1" x14ac:dyDescent="0.35"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</row>
    <row r="255" spans="65:114" ht="23" customHeight="1" x14ac:dyDescent="0.35"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</row>
    <row r="256" spans="65:114" ht="23" customHeight="1" x14ac:dyDescent="0.35"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</row>
    <row r="257" spans="65:114" ht="23" customHeight="1" x14ac:dyDescent="0.35"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</row>
    <row r="258" spans="65:114" ht="23" customHeight="1" x14ac:dyDescent="0.35"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</row>
    <row r="259" spans="65:114" ht="23" customHeight="1" x14ac:dyDescent="0.35"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</row>
    <row r="260" spans="65:114" ht="23" customHeight="1" x14ac:dyDescent="0.35"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</row>
    <row r="261" spans="65:114" ht="23" customHeight="1" x14ac:dyDescent="0.35"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</row>
    <row r="262" spans="65:114" ht="23" customHeight="1" x14ac:dyDescent="0.35"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</row>
    <row r="263" spans="65:114" ht="23" customHeight="1" x14ac:dyDescent="0.35"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</row>
    <row r="264" spans="65:114" ht="23" customHeight="1" x14ac:dyDescent="0.35"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</row>
    <row r="265" spans="65:114" ht="23" customHeight="1" x14ac:dyDescent="0.35"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</row>
    <row r="266" spans="65:114" ht="23" customHeight="1" x14ac:dyDescent="0.35"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</row>
    <row r="267" spans="65:114" ht="23" customHeight="1" x14ac:dyDescent="0.35"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</row>
    <row r="268" spans="65:114" ht="23" customHeight="1" x14ac:dyDescent="0.35"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</row>
    <row r="269" spans="65:114" ht="23" customHeight="1" x14ac:dyDescent="0.35"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</row>
    <row r="270" spans="65:114" ht="23" customHeight="1" x14ac:dyDescent="0.35"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</row>
    <row r="271" spans="65:114" ht="23" customHeight="1" x14ac:dyDescent="0.35"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</row>
    <row r="272" spans="65:114" ht="23" customHeight="1" x14ac:dyDescent="0.35"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</row>
    <row r="273" spans="65:114" ht="23" customHeight="1" x14ac:dyDescent="0.35"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</row>
    <row r="274" spans="65:114" ht="23" customHeight="1" x14ac:dyDescent="0.35"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</row>
    <row r="275" spans="65:114" ht="23" customHeight="1" x14ac:dyDescent="0.35"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</row>
    <row r="276" spans="65:114" ht="23" customHeight="1" x14ac:dyDescent="0.35"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</row>
    <row r="277" spans="65:114" ht="23" customHeight="1" x14ac:dyDescent="0.35"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</row>
    <row r="278" spans="65:114" ht="23" customHeight="1" x14ac:dyDescent="0.35"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</row>
    <row r="279" spans="65:114" ht="23" customHeight="1" x14ac:dyDescent="0.35"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</row>
    <row r="280" spans="65:114" ht="23" customHeight="1" x14ac:dyDescent="0.35"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</row>
    <row r="281" spans="65:114" ht="23" customHeight="1" x14ac:dyDescent="0.35"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</row>
    <row r="282" spans="65:114" ht="23" customHeight="1" x14ac:dyDescent="0.35"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</row>
    <row r="283" spans="65:114" ht="23" customHeight="1" x14ac:dyDescent="0.35"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</row>
    <row r="284" spans="65:114" ht="23" customHeight="1" x14ac:dyDescent="0.35"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</row>
    <row r="285" spans="65:114" ht="23" customHeight="1" x14ac:dyDescent="0.35"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</row>
    <row r="286" spans="65:114" ht="23" customHeight="1" x14ac:dyDescent="0.35"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</row>
    <row r="287" spans="65:114" ht="23" customHeight="1" x14ac:dyDescent="0.35"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</row>
    <row r="288" spans="65:114" ht="23" customHeight="1" x14ac:dyDescent="0.35"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</row>
    <row r="289" spans="65:114" ht="23" customHeight="1" x14ac:dyDescent="0.35"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</row>
    <row r="290" spans="65:114" ht="23" customHeight="1" x14ac:dyDescent="0.35"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</row>
    <row r="291" spans="65:114" ht="23" customHeight="1" x14ac:dyDescent="0.35"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</row>
    <row r="292" spans="65:114" ht="23" customHeight="1" x14ac:dyDescent="0.35"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</row>
    <row r="293" spans="65:114" ht="23" customHeight="1" x14ac:dyDescent="0.35"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</row>
    <row r="294" spans="65:114" ht="23" customHeight="1" x14ac:dyDescent="0.35"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</row>
    <row r="295" spans="65:114" ht="23" customHeight="1" x14ac:dyDescent="0.35"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</row>
    <row r="296" spans="65:114" ht="23" customHeight="1" x14ac:dyDescent="0.35"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</row>
    <row r="297" spans="65:114" ht="23" customHeight="1" x14ac:dyDescent="0.35"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</row>
    <row r="298" spans="65:114" ht="23" customHeight="1" x14ac:dyDescent="0.35"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</row>
    <row r="299" spans="65:114" ht="23" customHeight="1" x14ac:dyDescent="0.35"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</row>
    <row r="300" spans="65:114" ht="23" customHeight="1" x14ac:dyDescent="0.35"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</row>
    <row r="301" spans="65:114" ht="23" customHeight="1" x14ac:dyDescent="0.35"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</row>
    <row r="302" spans="65:114" ht="23" customHeight="1" x14ac:dyDescent="0.35"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</row>
    <row r="303" spans="65:114" ht="23" customHeight="1" x14ac:dyDescent="0.35"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</row>
    <row r="304" spans="65:114" ht="23" customHeight="1" x14ac:dyDescent="0.35"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</row>
    <row r="305" spans="65:114" ht="23" customHeight="1" x14ac:dyDescent="0.35"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</row>
    <row r="306" spans="65:114" ht="23" customHeight="1" x14ac:dyDescent="0.35"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</row>
    <row r="307" spans="65:114" ht="23" customHeight="1" x14ac:dyDescent="0.35"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</row>
    <row r="308" spans="65:114" ht="23" customHeight="1" x14ac:dyDescent="0.35"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</row>
    <row r="309" spans="65:114" ht="23" customHeight="1" x14ac:dyDescent="0.35"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</row>
    <row r="310" spans="65:114" ht="23" customHeight="1" x14ac:dyDescent="0.35"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</row>
    <row r="311" spans="65:114" ht="23" customHeight="1" x14ac:dyDescent="0.35"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</row>
    <row r="312" spans="65:114" ht="23" customHeight="1" x14ac:dyDescent="0.35"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</row>
    <row r="313" spans="65:114" ht="23" customHeight="1" x14ac:dyDescent="0.35"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</row>
    <row r="314" spans="65:114" ht="23" customHeight="1" x14ac:dyDescent="0.35"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</row>
    <row r="315" spans="65:114" ht="23" customHeight="1" x14ac:dyDescent="0.35"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</row>
    <row r="316" spans="65:114" ht="23" customHeight="1" x14ac:dyDescent="0.35"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</row>
    <row r="317" spans="65:114" ht="23" customHeight="1" x14ac:dyDescent="0.35"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</row>
    <row r="318" spans="65:114" ht="23" customHeight="1" x14ac:dyDescent="0.35"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</row>
    <row r="319" spans="65:114" ht="23" customHeight="1" x14ac:dyDescent="0.35"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</row>
    <row r="320" spans="65:114" ht="23" customHeight="1" x14ac:dyDescent="0.35"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</row>
    <row r="321" spans="65:114" ht="23" customHeight="1" x14ac:dyDescent="0.35"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</row>
    <row r="322" spans="65:114" ht="23" customHeight="1" x14ac:dyDescent="0.35"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</row>
    <row r="323" spans="65:114" ht="23" customHeight="1" x14ac:dyDescent="0.35"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</row>
    <row r="324" spans="65:114" ht="23" customHeight="1" x14ac:dyDescent="0.35"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</row>
    <row r="325" spans="65:114" ht="23" customHeight="1" x14ac:dyDescent="0.35"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</row>
    <row r="326" spans="65:114" ht="23" customHeight="1" x14ac:dyDescent="0.35"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</row>
    <row r="327" spans="65:114" ht="23" customHeight="1" x14ac:dyDescent="0.35"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</row>
    <row r="328" spans="65:114" ht="23" customHeight="1" x14ac:dyDescent="0.35"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</row>
    <row r="329" spans="65:114" ht="23" customHeight="1" x14ac:dyDescent="0.35"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</row>
    <row r="330" spans="65:114" ht="23" customHeight="1" x14ac:dyDescent="0.35"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</row>
    <row r="331" spans="65:114" ht="23" customHeight="1" x14ac:dyDescent="0.35"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</row>
    <row r="332" spans="65:114" ht="23" customHeight="1" x14ac:dyDescent="0.35"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</row>
    <row r="333" spans="65:114" ht="23" customHeight="1" x14ac:dyDescent="0.35"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</row>
    <row r="334" spans="65:114" ht="23" customHeight="1" x14ac:dyDescent="0.35"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</row>
  </sheetData>
  <autoFilter ref="A1:AI116" xr:uid="{00000000-0009-0000-0000-000001000000}">
    <filterColumn colId="10">
      <filters>
        <filter val="99%"/>
      </filters>
    </filterColumn>
  </autoFilter>
  <conditionalFormatting sqref="A2:BL8 A9:Q9 S9:BL9 A10:BL83 C84 P84:R84 AE84 BH84:BI84 A85:BL140 A144:BL144">
    <cfRule type="expression" dxfId="6" priority="14" stopIfTrue="1">
      <formula>UPPER($N2)="X"</formula>
    </cfRule>
    <cfRule type="expression" dxfId="5" priority="15">
      <formula>AND(NOT(ISERROR($K2)),$K2=1)</formula>
    </cfRule>
  </conditionalFormatting>
  <conditionalFormatting sqref="F84:G84">
    <cfRule type="expression" dxfId="4" priority="301" stopIfTrue="1">
      <formula>UPPER($N84)="X"</formula>
    </cfRule>
    <cfRule type="expression" dxfId="3" priority="302">
      <formula>AND(NOT(ISERROR($P84)),$P84=1)</formula>
    </cfRule>
  </conditionalFormatting>
  <conditionalFormatting sqref="R9">
    <cfRule type="expression" dxfId="2" priority="1">
      <formula>UPPER(TRIM($E9))="INACTIVO"</formula>
    </cfRule>
  </conditionalFormatting>
  <hyperlinks>
    <hyperlink ref="H9" r:id="rId1" xr:uid="{00000000-0004-0000-0100-000000000000}"/>
    <hyperlink ref="G14" r:id="rId2" xr:uid="{00000000-0004-0000-0100-000001000000}"/>
    <hyperlink ref="G50" r:id="rId3" xr:uid="{00000000-0004-0000-0100-000002000000}"/>
    <hyperlink ref="G51" r:id="rId4" xr:uid="{00000000-0004-0000-0100-000003000000}"/>
    <hyperlink ref="G57" r:id="rId5" xr:uid="{00000000-0004-0000-0100-000004000000}"/>
    <hyperlink ref="G59" r:id="rId6" xr:uid="{00000000-0004-0000-0100-000005000000}"/>
    <hyperlink ref="G65" r:id="rId7" xr:uid="{00000000-0004-0000-0100-000006000000}"/>
    <hyperlink ref="R66" r:id="rId8" xr:uid="{00000000-0004-0000-0100-000007000000}"/>
    <hyperlink ref="G68" r:id="rId9" display="B3G1JeoWN–h@" xr:uid="{00000000-0004-0000-0100-000008000000}"/>
    <hyperlink ref="R68" r:id="rId10" xr:uid="{00000000-0004-0000-0100-000009000000}"/>
    <hyperlink ref="G69" r:id="rId11" xr:uid="{00000000-0004-0000-0100-00000A000000}"/>
    <hyperlink ref="G72" r:id="rId12" xr:uid="{00000000-0004-0000-0100-00000B000000}"/>
    <hyperlink ref="G73" r:id="rId13" xr:uid="{00000000-0004-0000-0100-00000C000000}"/>
    <hyperlink ref="G74" r:id="rId14" xr:uid="{00000000-0004-0000-0100-00000D000000}"/>
    <hyperlink ref="G75" r:id="rId15" xr:uid="{00000000-0004-0000-0100-00000E000000}"/>
    <hyperlink ref="G76" r:id="rId16" xr:uid="{00000000-0004-0000-0100-00000F000000}"/>
    <hyperlink ref="G77" r:id="rId17" xr:uid="{00000000-0004-0000-0100-000010000000}"/>
    <hyperlink ref="R77" r:id="rId18" xr:uid="{00000000-0004-0000-0100-000011000000}"/>
    <hyperlink ref="G78" r:id="rId19" xr:uid="{00000000-0004-0000-0100-000012000000}"/>
    <hyperlink ref="G80" r:id="rId20" xr:uid="{00000000-0004-0000-0100-000013000000}"/>
    <hyperlink ref="R80" r:id="rId21" xr:uid="{00000000-0004-0000-0100-000014000000}"/>
    <hyperlink ref="G87" r:id="rId22" xr:uid="{00000000-0004-0000-0100-000015000000}"/>
    <hyperlink ref="G104" r:id="rId23" xr:uid="{00000000-0004-0000-0100-000016000000}"/>
    <hyperlink ref="H110" r:id="rId24" xr:uid="{00000000-0004-0000-0100-000017000000}"/>
    <hyperlink ref="G135" r:id="rId25" xr:uid="{00000000-0004-0000-0100-000018000000}"/>
    <hyperlink ref="R135" r:id="rId26" xr:uid="{00000000-0004-0000-0100-000019000000}"/>
    <hyperlink ref="G136" r:id="rId27" xr:uid="{00000000-0004-0000-0100-00001A000000}"/>
    <hyperlink ref="G137" r:id="rId28" xr:uid="{00000000-0004-0000-0100-00001B000000}"/>
    <hyperlink ref="G139" r:id="rId29" xr:uid="{00000000-0004-0000-0100-00001C000000}"/>
    <hyperlink ref="H115" r:id="rId30" xr:uid="{CF37DA31-8C6B-443D-BF9A-AB9176C23869}"/>
    <hyperlink ref="R9" r:id="rId31" xr:uid="{336523D8-B0B7-4B55-AB0B-53A264AAFAF9}"/>
  </hyperlinks>
  <pageMargins left="0.7" right="0.7" top="0.75" bottom="0.75" header="0.3" footer="0.3"/>
  <pageSetup paperSize="9" orientation="portrait" r:id="rId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1B25-29C8-4659-85BD-922443EEE425}">
  <dimension ref="A4:BL5"/>
  <sheetViews>
    <sheetView workbookViewId="0">
      <selection activeCell="A5" sqref="A5:XFD5"/>
    </sheetView>
  </sheetViews>
  <sheetFormatPr defaultRowHeight="14.5" x14ac:dyDescent="0.35"/>
  <sheetData>
    <row r="4" spans="1:64" s="44" customFormat="1" ht="23.5" customHeight="1" x14ac:dyDescent="0.35">
      <c r="A4" s="457">
        <v>1322</v>
      </c>
      <c r="B4" s="411" t="s">
        <v>192</v>
      </c>
      <c r="C4" s="547" t="s">
        <v>66</v>
      </c>
      <c r="D4" s="547"/>
      <c r="E4" s="411"/>
      <c r="F4" s="411" t="s">
        <v>193</v>
      </c>
      <c r="G4" s="411" t="s">
        <v>194</v>
      </c>
      <c r="H4" s="478" t="s">
        <v>195</v>
      </c>
      <c r="I4" s="478"/>
      <c r="J4" s="478"/>
      <c r="K4" s="452"/>
      <c r="L4" s="478"/>
      <c r="M4" s="459"/>
      <c r="N4" s="478"/>
      <c r="O4" s="461"/>
      <c r="P4" s="478"/>
      <c r="Q4" s="478"/>
      <c r="R4" s="478"/>
      <c r="S4" s="478"/>
      <c r="T4" s="478"/>
      <c r="U4" s="478"/>
      <c r="V4" s="478"/>
      <c r="W4" s="478"/>
      <c r="X4" s="463"/>
      <c r="Y4" s="463"/>
      <c r="Z4" s="464"/>
      <c r="AA4" s="464"/>
      <c r="AB4" s="465"/>
      <c r="AC4" s="474"/>
      <c r="AD4" s="491"/>
      <c r="AE4" s="450" t="s">
        <v>50</v>
      </c>
      <c r="AF4" s="450"/>
      <c r="AG4" s="480"/>
      <c r="AH4" s="307"/>
      <c r="AI4" s="450"/>
      <c r="AJ4" s="176"/>
      <c r="AK4" s="1"/>
      <c r="AL4" s="1"/>
      <c r="AM4" s="1"/>
      <c r="AN4" s="1"/>
      <c r="AO4" s="1" t="s">
        <v>51</v>
      </c>
      <c r="AP4" s="1"/>
      <c r="AQ4" s="1" t="s">
        <v>51</v>
      </c>
      <c r="AR4" s="1"/>
      <c r="AS4" s="1"/>
      <c r="AT4" s="1"/>
      <c r="AU4" s="1"/>
      <c r="AV4" s="1"/>
      <c r="AW4" s="1"/>
      <c r="AX4" s="1"/>
      <c r="AY4" s="1"/>
      <c r="AZ4" s="1"/>
      <c r="BA4" s="233"/>
      <c r="BB4" s="233"/>
      <c r="BC4" s="233"/>
      <c r="BD4" s="1"/>
      <c r="BE4" s="1"/>
      <c r="BF4" s="1"/>
      <c r="BG4" s="23"/>
      <c r="BH4" s="253">
        <v>500</v>
      </c>
      <c r="BI4" s="253">
        <v>550</v>
      </c>
      <c r="BJ4" s="23"/>
      <c r="BK4" s="3"/>
      <c r="BL4" s="3"/>
    </row>
    <row r="5" spans="1:64" s="44" customFormat="1" ht="23.5" customHeight="1" x14ac:dyDescent="0.35">
      <c r="A5" s="457"/>
      <c r="B5" s="457" t="s">
        <v>503</v>
      </c>
      <c r="C5" s="457" t="s">
        <v>81</v>
      </c>
      <c r="D5" s="457" t="s">
        <v>161</v>
      </c>
      <c r="E5" s="457"/>
      <c r="F5" s="457">
        <v>179755021</v>
      </c>
      <c r="G5" s="457" t="s">
        <v>504</v>
      </c>
      <c r="H5" s="467"/>
      <c r="I5" s="467"/>
      <c r="J5" s="467"/>
      <c r="K5" s="452">
        <v>0</v>
      </c>
      <c r="L5" s="467"/>
      <c r="M5" s="459"/>
      <c r="N5" s="718"/>
      <c r="O5" s="467"/>
      <c r="P5" s="467" t="s">
        <v>505</v>
      </c>
      <c r="Q5" s="467">
        <v>213620154</v>
      </c>
      <c r="R5" s="467" t="s">
        <v>506</v>
      </c>
      <c r="S5" s="467"/>
      <c r="T5" s="467"/>
      <c r="U5" s="467"/>
      <c r="V5" s="467"/>
      <c r="W5" s="467"/>
      <c r="X5" s="467"/>
      <c r="Y5" s="467"/>
      <c r="Z5" s="42"/>
      <c r="AA5" s="42"/>
      <c r="AB5" s="496"/>
      <c r="AC5" s="558"/>
      <c r="AD5" s="491"/>
      <c r="AE5" s="450"/>
      <c r="AF5" s="450"/>
      <c r="AG5" s="42"/>
      <c r="AH5" s="42"/>
      <c r="AI5" s="42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233"/>
      <c r="BB5" s="233"/>
      <c r="BC5" s="233"/>
      <c r="BD5" s="1"/>
      <c r="BE5" s="1"/>
      <c r="BF5" s="1"/>
      <c r="BG5" s="19"/>
      <c r="BH5" s="403">
        <v>0</v>
      </c>
      <c r="BI5" s="194"/>
      <c r="BJ5" s="16"/>
      <c r="BK5" s="3"/>
      <c r="BL5" s="3"/>
    </row>
  </sheetData>
  <conditionalFormatting sqref="A4:BL5">
    <cfRule type="expression" dxfId="1" priority="1" stopIfTrue="1">
      <formula>UPPER($N4)="X"</formula>
    </cfRule>
    <cfRule type="expression" dxfId="0" priority="2">
      <formula>AND(NOT(ISERROR($K4)),$K4=1)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09"/>
  <sheetViews>
    <sheetView topLeftCell="E1" workbookViewId="0">
      <pane ySplit="1" topLeftCell="A92" activePane="bottomLeft" state="frozen"/>
      <selection pane="bottomLeft" activeCell="L109" sqref="L109"/>
    </sheetView>
  </sheetViews>
  <sheetFormatPr defaultColWidth="16.453125" defaultRowHeight="19.5" customHeight="1" outlineLevelCol="1" x14ac:dyDescent="0.35"/>
  <cols>
    <col min="1" max="1" width="8.54296875" style="201" customWidth="1"/>
    <col min="2" max="2" width="10.453125" style="14" customWidth="1" outlineLevel="1"/>
    <col min="3" max="3" width="11.453125" customWidth="1" outlineLevel="1"/>
    <col min="4" max="4" width="38.453125" style="236" customWidth="1" outlineLevel="1"/>
    <col min="5" max="5" width="16.453125" customWidth="1" outlineLevel="1"/>
    <col min="6" max="6" width="27.54296875" style="211" customWidth="1" outlineLevel="1"/>
    <col min="7" max="7" width="14.54296875" style="211" customWidth="1" outlineLevel="1"/>
    <col min="8" max="8" width="12.453125" customWidth="1" outlineLevel="1"/>
    <col min="10" max="10" width="21.453125" style="236" customWidth="1"/>
    <col min="11" max="11" width="4" style="236" customWidth="1"/>
    <col min="12" max="12" width="38.453125" style="56" customWidth="1"/>
    <col min="13" max="14" width="21.54296875" style="305" customWidth="1" outlineLevel="1"/>
    <col min="15" max="17" width="21.54296875" style="14" customWidth="1" outlineLevel="1"/>
    <col min="18" max="18" width="16.453125" style="14" customWidth="1" outlineLevel="1"/>
    <col min="19" max="21" width="18.54296875" customWidth="1" outlineLevel="1"/>
    <col min="22" max="22" width="18" customWidth="1" outlineLevel="1"/>
    <col min="23" max="28" width="16.453125" customWidth="1" outlineLevel="1"/>
    <col min="30" max="30" width="19.54296875" customWidth="1"/>
  </cols>
  <sheetData>
    <row r="1" spans="1:47" s="204" customFormat="1" ht="30" customHeight="1" x14ac:dyDescent="0.35">
      <c r="A1" s="280" t="s">
        <v>590</v>
      </c>
      <c r="B1" s="175" t="s">
        <v>591</v>
      </c>
      <c r="C1" s="175" t="s">
        <v>592</v>
      </c>
      <c r="D1" s="174" t="s">
        <v>593</v>
      </c>
      <c r="E1" s="175" t="s">
        <v>594</v>
      </c>
      <c r="F1" s="176" t="s">
        <v>595</v>
      </c>
      <c r="G1" s="176" t="s">
        <v>8</v>
      </c>
      <c r="H1" s="175" t="s">
        <v>9</v>
      </c>
      <c r="I1" s="175" t="s">
        <v>10</v>
      </c>
      <c r="J1" s="281" t="s">
        <v>12</v>
      </c>
      <c r="K1" s="281"/>
      <c r="L1" s="281" t="s">
        <v>596</v>
      </c>
      <c r="M1" s="281" t="s">
        <v>5</v>
      </c>
      <c r="N1" s="281" t="s">
        <v>6</v>
      </c>
      <c r="O1" s="281" t="s">
        <v>15</v>
      </c>
      <c r="P1" s="281" t="s">
        <v>5</v>
      </c>
      <c r="Q1" s="281" t="s">
        <v>6</v>
      </c>
      <c r="R1" s="281" t="s">
        <v>25</v>
      </c>
      <c r="S1" s="246" t="s">
        <v>597</v>
      </c>
      <c r="T1" s="246" t="s">
        <v>598</v>
      </c>
      <c r="U1" s="246" t="s">
        <v>599</v>
      </c>
      <c r="V1" s="246" t="s">
        <v>600</v>
      </c>
      <c r="W1" s="246" t="s">
        <v>601</v>
      </c>
      <c r="X1" s="246" t="s">
        <v>602</v>
      </c>
      <c r="Y1" s="246" t="s">
        <v>20</v>
      </c>
      <c r="Z1" s="246" t="s">
        <v>603</v>
      </c>
      <c r="AA1" s="177" t="s">
        <v>13</v>
      </c>
      <c r="AB1" s="176" t="s">
        <v>14</v>
      </c>
      <c r="AC1" s="176" t="s">
        <v>21</v>
      </c>
      <c r="AD1" s="252" t="s">
        <v>604</v>
      </c>
      <c r="AE1" s="176" t="s">
        <v>605</v>
      </c>
      <c r="AF1" s="194" t="s">
        <v>606</v>
      </c>
      <c r="AG1" s="177"/>
      <c r="AH1" s="177" t="s">
        <v>607</v>
      </c>
      <c r="AI1" s="246" t="s">
        <v>38</v>
      </c>
      <c r="AJ1" s="246"/>
      <c r="AK1" s="246" t="s">
        <v>41</v>
      </c>
      <c r="AL1" s="177" t="s">
        <v>28</v>
      </c>
      <c r="AM1" s="246" t="s">
        <v>608</v>
      </c>
      <c r="AN1" s="246" t="s">
        <v>609</v>
      </c>
      <c r="AO1" s="18"/>
      <c r="AP1" s="246" t="s">
        <v>29</v>
      </c>
      <c r="AQ1" s="176" t="s">
        <v>30</v>
      </c>
      <c r="AR1" s="177" t="s">
        <v>610</v>
      </c>
      <c r="AS1" s="246" t="s">
        <v>611</v>
      </c>
      <c r="AT1" s="246" t="s">
        <v>612</v>
      </c>
      <c r="AU1" s="10" t="s">
        <v>613</v>
      </c>
    </row>
    <row r="2" spans="1:47" ht="19.5" customHeight="1" x14ac:dyDescent="0.35">
      <c r="A2" s="313">
        <v>1133</v>
      </c>
      <c r="B2" s="319"/>
      <c r="C2" s="315"/>
      <c r="D2" s="316"/>
      <c r="E2" s="317" t="s">
        <v>614</v>
      </c>
      <c r="F2" s="318"/>
      <c r="G2" s="318"/>
      <c r="H2" s="319" t="s">
        <v>615</v>
      </c>
      <c r="I2" s="320">
        <v>1</v>
      </c>
      <c r="J2" s="321">
        <v>45469</v>
      </c>
      <c r="K2" s="321"/>
      <c r="L2" s="322" t="s">
        <v>44</v>
      </c>
      <c r="M2" s="323" t="s">
        <v>46</v>
      </c>
      <c r="N2" s="323" t="s">
        <v>47</v>
      </c>
      <c r="O2" s="324"/>
      <c r="P2" s="325"/>
      <c r="Q2" s="323"/>
      <c r="R2" s="326"/>
      <c r="S2" s="326"/>
      <c r="T2" s="326"/>
      <c r="U2" s="326"/>
      <c r="V2" s="326"/>
      <c r="W2" s="326"/>
      <c r="X2" s="326"/>
      <c r="Y2" s="326"/>
      <c r="Z2" s="326"/>
      <c r="AA2" s="27"/>
      <c r="AB2" s="20"/>
      <c r="AC2" s="20"/>
      <c r="AD2" s="252"/>
      <c r="AE2" s="176"/>
      <c r="AF2" s="253"/>
      <c r="AG2" s="177"/>
      <c r="AH2" s="177"/>
      <c r="AI2" s="19" t="s">
        <v>73</v>
      </c>
      <c r="AJ2" s="19"/>
      <c r="AK2" s="19" t="s">
        <v>73</v>
      </c>
      <c r="AL2" s="177"/>
      <c r="AM2" s="246"/>
      <c r="AN2" s="246"/>
      <c r="AO2" s="16"/>
      <c r="AP2" s="246"/>
      <c r="AQ2" s="176"/>
      <c r="AR2" s="177"/>
      <c r="AS2" s="246"/>
      <c r="AT2" s="246"/>
      <c r="AU2" s="10"/>
    </row>
    <row r="3" spans="1:47" ht="19.5" customHeight="1" x14ac:dyDescent="0.35">
      <c r="A3" s="313">
        <v>1133</v>
      </c>
      <c r="B3" s="319"/>
      <c r="C3" s="315"/>
      <c r="D3" s="316"/>
      <c r="E3" s="317" t="s">
        <v>614</v>
      </c>
      <c r="F3" s="318"/>
      <c r="G3" s="318"/>
      <c r="H3" s="319" t="s">
        <v>616</v>
      </c>
      <c r="I3" s="320">
        <v>1</v>
      </c>
      <c r="J3" s="321">
        <v>46562</v>
      </c>
      <c r="K3" s="321"/>
      <c r="L3" s="322" t="s">
        <v>52</v>
      </c>
      <c r="M3" s="323">
        <v>294042539</v>
      </c>
      <c r="N3" s="323" t="s">
        <v>53</v>
      </c>
      <c r="O3" s="324"/>
      <c r="P3" s="325"/>
      <c r="Q3" s="327"/>
      <c r="R3" s="326"/>
      <c r="S3" s="326"/>
      <c r="T3" s="326"/>
      <c r="U3" s="326"/>
      <c r="V3" s="326"/>
      <c r="W3" s="326"/>
      <c r="X3" s="326"/>
      <c r="Y3" s="326"/>
      <c r="Z3" s="326"/>
      <c r="AA3" s="27"/>
      <c r="AB3" s="20"/>
      <c r="AC3" s="20"/>
      <c r="AD3" s="252"/>
      <c r="AE3" s="176"/>
      <c r="AF3" s="253"/>
      <c r="AG3" s="177"/>
      <c r="AH3" s="177"/>
      <c r="AI3" s="19"/>
      <c r="AJ3" s="19"/>
      <c r="AK3" s="19"/>
      <c r="AL3" s="177"/>
      <c r="AM3" s="246"/>
      <c r="AN3" s="246"/>
      <c r="AO3" s="16"/>
      <c r="AP3" s="246"/>
      <c r="AQ3" s="176"/>
      <c r="AR3" s="177"/>
      <c r="AS3" s="246"/>
      <c r="AT3" s="246"/>
      <c r="AU3" s="10"/>
    </row>
    <row r="4" spans="1:47" ht="19.5" customHeight="1" x14ac:dyDescent="0.35">
      <c r="A4" s="328">
        <v>1141</v>
      </c>
      <c r="B4" s="319">
        <v>2022</v>
      </c>
      <c r="C4" s="329" t="s">
        <v>617</v>
      </c>
      <c r="D4" s="332"/>
      <c r="E4" s="317" t="s">
        <v>614</v>
      </c>
      <c r="F4" s="335">
        <v>45446</v>
      </c>
      <c r="G4" s="335"/>
      <c r="H4" s="319" t="s">
        <v>618</v>
      </c>
      <c r="I4" s="320">
        <v>1</v>
      </c>
      <c r="J4" s="321">
        <v>45459</v>
      </c>
      <c r="K4" s="321"/>
      <c r="L4" s="322" t="s">
        <v>55</v>
      </c>
      <c r="M4" s="331">
        <v>295197811</v>
      </c>
      <c r="N4" s="331" t="s">
        <v>58</v>
      </c>
      <c r="O4" s="324"/>
      <c r="P4" s="324"/>
      <c r="Q4" s="333"/>
      <c r="R4" s="324"/>
      <c r="S4" s="324"/>
      <c r="T4" s="324"/>
      <c r="U4" s="324"/>
      <c r="V4" s="324"/>
      <c r="W4" s="324"/>
      <c r="X4" s="324"/>
      <c r="Y4" s="324"/>
      <c r="Z4" s="324"/>
      <c r="AA4" s="18"/>
      <c r="AB4" s="39"/>
      <c r="AC4" s="39"/>
      <c r="AD4" s="254"/>
      <c r="AE4" s="255"/>
      <c r="AF4" s="257"/>
      <c r="AG4" s="176"/>
      <c r="AH4" s="176"/>
      <c r="AI4" s="27" t="s">
        <v>73</v>
      </c>
      <c r="AJ4" s="27"/>
      <c r="AK4" s="286" t="s">
        <v>619</v>
      </c>
      <c r="AL4" s="185"/>
      <c r="AM4" s="246"/>
      <c r="AN4" s="16"/>
      <c r="AO4" s="16">
        <v>600</v>
      </c>
      <c r="AP4" s="246" t="s">
        <v>591</v>
      </c>
      <c r="AQ4" s="176">
        <v>45138</v>
      </c>
      <c r="AR4" s="246"/>
      <c r="AS4" s="246"/>
      <c r="AT4" s="246"/>
      <c r="AU4" s="10"/>
    </row>
    <row r="5" spans="1:47" ht="19.5" customHeight="1" x14ac:dyDescent="0.35">
      <c r="A5" s="328">
        <v>1141</v>
      </c>
      <c r="B5" s="319"/>
      <c r="C5" s="329"/>
      <c r="D5" s="332"/>
      <c r="E5" s="317" t="s">
        <v>614</v>
      </c>
      <c r="F5" s="335"/>
      <c r="G5" s="335"/>
      <c r="H5" s="319" t="s">
        <v>618</v>
      </c>
      <c r="I5" s="320">
        <v>1</v>
      </c>
      <c r="J5" s="321">
        <v>45459</v>
      </c>
      <c r="K5" s="321"/>
      <c r="L5" s="322" t="s">
        <v>62</v>
      </c>
      <c r="M5" s="331">
        <v>229370900</v>
      </c>
      <c r="N5" s="331" t="s">
        <v>63</v>
      </c>
      <c r="O5" s="324"/>
      <c r="P5" s="324"/>
      <c r="Q5" s="333"/>
      <c r="R5" s="324"/>
      <c r="S5" s="324"/>
      <c r="T5" s="324"/>
      <c r="U5" s="324"/>
      <c r="V5" s="324"/>
      <c r="W5" s="324"/>
      <c r="X5" s="324"/>
      <c r="Y5" s="324"/>
      <c r="Z5" s="324"/>
      <c r="AA5" s="18"/>
      <c r="AB5" s="39"/>
      <c r="AC5" s="39"/>
      <c r="AD5" s="254"/>
      <c r="AE5" s="255"/>
      <c r="AF5" s="257"/>
      <c r="AG5" s="176"/>
      <c r="AH5" s="176"/>
      <c r="AI5" s="24"/>
      <c r="AJ5" s="24"/>
      <c r="AK5" s="259"/>
      <c r="AL5" s="185"/>
      <c r="AM5" s="246"/>
      <c r="AN5" s="16"/>
      <c r="AO5" s="16"/>
      <c r="AP5" s="246"/>
      <c r="AQ5" s="176"/>
      <c r="AR5" s="246"/>
      <c r="AS5" s="246"/>
      <c r="AT5" s="246"/>
      <c r="AU5" s="10"/>
    </row>
    <row r="6" spans="1:47" ht="19.5" customHeight="1" x14ac:dyDescent="0.35">
      <c r="A6" s="240">
        <v>1156</v>
      </c>
      <c r="B6" s="37">
        <v>2022</v>
      </c>
      <c r="C6" s="241" t="s">
        <v>617</v>
      </c>
      <c r="D6" s="298" t="s">
        <v>620</v>
      </c>
      <c r="E6" s="242"/>
      <c r="F6" s="243">
        <v>45446</v>
      </c>
      <c r="G6" s="243"/>
      <c r="H6" s="37"/>
      <c r="I6" s="244">
        <v>0</v>
      </c>
      <c r="J6" s="297" t="s">
        <v>621</v>
      </c>
      <c r="K6" s="38" t="s">
        <v>61</v>
      </c>
      <c r="L6" s="277" t="s">
        <v>65</v>
      </c>
      <c r="M6" s="306">
        <v>293090092</v>
      </c>
      <c r="N6" s="306" t="s">
        <v>622</v>
      </c>
      <c r="O6" s="37" t="s">
        <v>71</v>
      </c>
      <c r="P6" s="37">
        <v>293611513</v>
      </c>
      <c r="Q6" s="37" t="s">
        <v>72</v>
      </c>
      <c r="R6" s="37"/>
      <c r="S6" s="37"/>
      <c r="T6" s="37"/>
      <c r="U6" s="37"/>
      <c r="V6" s="37"/>
      <c r="W6" s="37"/>
      <c r="X6" s="37"/>
      <c r="Y6" s="37"/>
      <c r="Z6" s="37"/>
      <c r="AA6" s="189" t="s">
        <v>51</v>
      </c>
      <c r="AB6" s="190" t="s">
        <v>623</v>
      </c>
      <c r="AC6" s="24"/>
      <c r="AD6" s="254"/>
      <c r="AE6" s="255"/>
      <c r="AF6" s="33"/>
      <c r="AG6" s="176"/>
      <c r="AH6" s="176"/>
      <c r="AI6" s="24"/>
      <c r="AJ6" s="24"/>
      <c r="AK6" s="24"/>
      <c r="AL6" s="256"/>
      <c r="AM6" s="18"/>
      <c r="AN6" s="16"/>
      <c r="AO6" s="16">
        <v>400</v>
      </c>
      <c r="AP6" s="246"/>
      <c r="AQ6" s="176"/>
      <c r="AR6" s="246"/>
      <c r="AS6" s="246"/>
      <c r="AT6" s="246"/>
      <c r="AU6" s="10"/>
    </row>
    <row r="7" spans="1:47" ht="19.5" customHeight="1" x14ac:dyDescent="0.35">
      <c r="A7" s="328">
        <v>1167</v>
      </c>
      <c r="B7" s="319">
        <v>2022</v>
      </c>
      <c r="C7" s="329" t="s">
        <v>617</v>
      </c>
      <c r="D7" s="330"/>
      <c r="E7" s="317" t="s">
        <v>614</v>
      </c>
      <c r="F7" s="318"/>
      <c r="G7" s="318"/>
      <c r="H7" s="319" t="s">
        <v>49</v>
      </c>
      <c r="I7" s="320">
        <v>1</v>
      </c>
      <c r="J7" s="321">
        <v>45462</v>
      </c>
      <c r="K7" s="321"/>
      <c r="L7" s="322" t="s">
        <v>75</v>
      </c>
      <c r="M7" s="331">
        <v>287599876</v>
      </c>
      <c r="N7" s="331" t="s">
        <v>76</v>
      </c>
      <c r="O7" s="324" t="s">
        <v>78</v>
      </c>
      <c r="P7" s="324"/>
      <c r="Q7" s="324"/>
      <c r="R7" s="324"/>
      <c r="S7" s="324"/>
      <c r="T7" s="324"/>
      <c r="U7" s="324"/>
      <c r="V7" s="324"/>
      <c r="W7" s="324"/>
      <c r="X7" s="324"/>
      <c r="Y7" s="324"/>
      <c r="Z7" s="324"/>
      <c r="AA7" s="18"/>
      <c r="AB7" s="39"/>
      <c r="AC7" s="39"/>
      <c r="AD7" s="254"/>
      <c r="AE7" s="255"/>
      <c r="AF7" s="257"/>
      <c r="AG7" s="176"/>
      <c r="AH7" s="176"/>
      <c r="AI7" s="27" t="s">
        <v>73</v>
      </c>
      <c r="AJ7" s="27" t="s">
        <v>624</v>
      </c>
      <c r="AK7" s="24"/>
      <c r="AL7" s="185"/>
      <c r="AM7" s="246"/>
      <c r="AN7" s="16"/>
      <c r="AO7" s="16"/>
      <c r="AP7" s="18" t="s">
        <v>591</v>
      </c>
      <c r="AQ7" s="39">
        <v>45138</v>
      </c>
      <c r="AR7" s="18"/>
      <c r="AS7" s="18"/>
      <c r="AT7" s="18"/>
      <c r="AU7" s="74"/>
    </row>
    <row r="8" spans="1:47" ht="19.5" customHeight="1" x14ac:dyDescent="0.35">
      <c r="A8" s="328">
        <v>1176</v>
      </c>
      <c r="B8" s="319">
        <v>2022</v>
      </c>
      <c r="C8" s="329"/>
      <c r="D8" s="332"/>
      <c r="E8" s="317" t="s">
        <v>614</v>
      </c>
      <c r="F8" s="318"/>
      <c r="G8" s="318"/>
      <c r="H8" s="319" t="s">
        <v>615</v>
      </c>
      <c r="I8" s="320">
        <v>1</v>
      </c>
      <c r="J8" s="321">
        <v>45469</v>
      </c>
      <c r="K8" s="321"/>
      <c r="L8" s="322" t="s">
        <v>80</v>
      </c>
      <c r="M8" s="331">
        <v>293341249</v>
      </c>
      <c r="N8" s="331" t="s">
        <v>82</v>
      </c>
      <c r="O8" s="324" t="s">
        <v>84</v>
      </c>
      <c r="P8" s="324">
        <v>293341478</v>
      </c>
      <c r="Q8" s="327" t="s">
        <v>85</v>
      </c>
      <c r="R8" s="324"/>
      <c r="S8" s="324"/>
      <c r="T8" s="324"/>
      <c r="U8" s="324"/>
      <c r="V8" s="324" t="s">
        <v>51</v>
      </c>
      <c r="W8" s="324" t="s">
        <v>51</v>
      </c>
      <c r="X8" s="324"/>
      <c r="Y8" s="324"/>
      <c r="Z8" s="324"/>
      <c r="AA8" s="18"/>
      <c r="AB8" s="39"/>
      <c r="AC8" s="39"/>
      <c r="AD8" s="254"/>
      <c r="AE8" s="255"/>
      <c r="AF8" s="258"/>
      <c r="AG8" s="39"/>
      <c r="AH8" s="176"/>
      <c r="AI8" s="24"/>
      <c r="AJ8" s="24"/>
      <c r="AK8" s="24"/>
      <c r="AL8" s="247"/>
      <c r="AM8" s="246"/>
      <c r="AN8" s="16"/>
      <c r="AO8" s="16">
        <v>400</v>
      </c>
      <c r="AP8" s="18"/>
      <c r="AQ8" s="39"/>
      <c r="AR8" s="18"/>
      <c r="AS8" s="18"/>
      <c r="AT8" s="18"/>
      <c r="AU8" s="74"/>
    </row>
    <row r="9" spans="1:47" ht="19.5" customHeight="1" x14ac:dyDescent="0.35">
      <c r="A9" s="328">
        <v>1176</v>
      </c>
      <c r="B9" s="319"/>
      <c r="C9" s="329"/>
      <c r="D9" s="332"/>
      <c r="E9" s="317" t="s">
        <v>614</v>
      </c>
      <c r="F9" s="318"/>
      <c r="G9" s="318"/>
      <c r="H9" s="319" t="s">
        <v>616</v>
      </c>
      <c r="I9" s="320">
        <v>1</v>
      </c>
      <c r="J9" s="321">
        <v>45465</v>
      </c>
      <c r="K9" s="321"/>
      <c r="L9" s="322" t="s">
        <v>625</v>
      </c>
      <c r="M9" s="331">
        <v>316619116</v>
      </c>
      <c r="N9" s="331" t="s">
        <v>626</v>
      </c>
      <c r="O9" s="324"/>
      <c r="P9" s="324"/>
      <c r="Q9" s="333"/>
      <c r="R9" s="324"/>
      <c r="S9" s="324"/>
      <c r="T9" s="324"/>
      <c r="U9" s="324"/>
      <c r="V9" s="324"/>
      <c r="W9" s="324"/>
      <c r="X9" s="324"/>
      <c r="Y9" s="324"/>
      <c r="Z9" s="324"/>
      <c r="AA9" s="18"/>
      <c r="AB9" s="39"/>
      <c r="AC9" s="39"/>
      <c r="AD9" s="254"/>
      <c r="AE9" s="255"/>
      <c r="AF9" s="258"/>
      <c r="AG9" s="39"/>
      <c r="AH9" s="176"/>
      <c r="AI9" s="24"/>
      <c r="AJ9" s="24"/>
      <c r="AK9" s="24"/>
      <c r="AL9" s="247"/>
      <c r="AM9" s="246"/>
      <c r="AN9" s="16"/>
      <c r="AO9" s="16"/>
      <c r="AP9" s="18"/>
      <c r="AQ9" s="39"/>
      <c r="AR9" s="18"/>
      <c r="AS9" s="18"/>
      <c r="AT9" s="18"/>
      <c r="AU9" s="74"/>
    </row>
    <row r="10" spans="1:47" ht="19.5" customHeight="1" x14ac:dyDescent="0.35">
      <c r="A10" s="328">
        <v>1176</v>
      </c>
      <c r="B10" s="319"/>
      <c r="C10" s="329"/>
      <c r="D10" s="332"/>
      <c r="E10" s="317" t="s">
        <v>614</v>
      </c>
      <c r="F10" s="318"/>
      <c r="G10" s="318"/>
      <c r="H10" s="319" t="s">
        <v>616</v>
      </c>
      <c r="I10" s="320">
        <v>1</v>
      </c>
      <c r="J10" s="321">
        <v>45465</v>
      </c>
      <c r="K10" s="321"/>
      <c r="L10" s="322" t="s">
        <v>627</v>
      </c>
      <c r="M10" s="331">
        <v>316563293</v>
      </c>
      <c r="N10" s="331" t="s">
        <v>628</v>
      </c>
      <c r="O10" s="324"/>
      <c r="P10" s="324"/>
      <c r="Q10" s="333"/>
      <c r="R10" s="324"/>
      <c r="S10" s="324"/>
      <c r="T10" s="324"/>
      <c r="U10" s="324"/>
      <c r="V10" s="324"/>
      <c r="W10" s="324"/>
      <c r="X10" s="324"/>
      <c r="Y10" s="324"/>
      <c r="Z10" s="324"/>
      <c r="AA10" s="18"/>
      <c r="AB10" s="39"/>
      <c r="AC10" s="39"/>
      <c r="AD10" s="254"/>
      <c r="AE10" s="255"/>
      <c r="AF10" s="258"/>
      <c r="AG10" s="39"/>
      <c r="AH10" s="176"/>
      <c r="AI10" s="24"/>
      <c r="AJ10" s="24"/>
      <c r="AK10" s="24"/>
      <c r="AL10" s="247"/>
      <c r="AM10" s="246"/>
      <c r="AN10" s="16"/>
      <c r="AO10" s="16"/>
      <c r="AP10" s="18"/>
      <c r="AQ10" s="39"/>
      <c r="AR10" s="18"/>
      <c r="AS10" s="18"/>
      <c r="AT10" s="18"/>
      <c r="AU10" s="74"/>
    </row>
    <row r="11" spans="1:47" ht="19.5" customHeight="1" x14ac:dyDescent="0.35">
      <c r="A11" s="2">
        <v>1178</v>
      </c>
      <c r="B11" s="16" t="s">
        <v>591</v>
      </c>
      <c r="C11" s="16" t="s">
        <v>617</v>
      </c>
      <c r="D11" s="35"/>
      <c r="E11" s="16"/>
      <c r="F11" s="23"/>
      <c r="G11" s="23"/>
      <c r="H11" s="207" t="s">
        <v>629</v>
      </c>
      <c r="I11" s="43"/>
      <c r="J11" s="23"/>
      <c r="K11" s="23" t="s">
        <v>61</v>
      </c>
      <c r="L11" s="203" t="s">
        <v>630</v>
      </c>
      <c r="M11" s="307">
        <v>291388035</v>
      </c>
      <c r="N11" s="307" t="s">
        <v>631</v>
      </c>
      <c r="O11" s="191" t="s">
        <v>632</v>
      </c>
      <c r="P11" s="18">
        <v>291370667</v>
      </c>
      <c r="Q11" s="304" t="s">
        <v>631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192"/>
      <c r="AC11" s="23"/>
      <c r="AD11" s="32"/>
      <c r="AE11" s="39"/>
      <c r="AF11" s="33"/>
      <c r="AG11" s="27"/>
      <c r="AH11" s="27"/>
      <c r="AI11" s="16"/>
      <c r="AJ11" s="16"/>
      <c r="AK11" s="24"/>
      <c r="AL11" s="17"/>
      <c r="AM11" s="18"/>
      <c r="AN11" s="16"/>
      <c r="AO11" s="16"/>
      <c r="AP11" s="246" t="s">
        <v>591</v>
      </c>
      <c r="AQ11" s="176"/>
      <c r="AR11" s="246"/>
      <c r="AS11" s="246"/>
      <c r="AT11" s="246"/>
      <c r="AU11" s="10"/>
    </row>
    <row r="12" spans="1:47" ht="19.5" customHeight="1" x14ac:dyDescent="0.35">
      <c r="A12" s="328">
        <v>1191</v>
      </c>
      <c r="B12" s="319">
        <v>2022</v>
      </c>
      <c r="C12" s="329" t="s">
        <v>617</v>
      </c>
      <c r="D12" s="334"/>
      <c r="E12" s="317" t="s">
        <v>614</v>
      </c>
      <c r="F12" s="335">
        <v>45447</v>
      </c>
      <c r="G12" s="335"/>
      <c r="H12" s="319" t="s">
        <v>60</v>
      </c>
      <c r="I12" s="320">
        <v>1</v>
      </c>
      <c r="J12" s="321">
        <v>45465</v>
      </c>
      <c r="K12" s="321"/>
      <c r="L12" s="322" t="s">
        <v>87</v>
      </c>
      <c r="M12" s="331">
        <v>293407088</v>
      </c>
      <c r="N12" s="331" t="s">
        <v>88</v>
      </c>
      <c r="O12" s="336" t="s">
        <v>90</v>
      </c>
      <c r="P12" s="324">
        <v>293724130</v>
      </c>
      <c r="Q12" s="333" t="s">
        <v>88</v>
      </c>
      <c r="R12" s="324"/>
      <c r="S12" s="324"/>
      <c r="T12" s="324"/>
      <c r="U12" s="324"/>
      <c r="V12" s="324"/>
      <c r="W12" s="324"/>
      <c r="X12" s="324"/>
      <c r="Y12" s="324"/>
      <c r="Z12" s="324"/>
      <c r="AA12" s="187"/>
      <c r="AB12" s="188"/>
      <c r="AC12" s="39"/>
      <c r="AD12" s="254"/>
      <c r="AE12" s="255"/>
      <c r="AF12" s="194"/>
      <c r="AG12" s="253"/>
      <c r="AH12" s="253"/>
      <c r="AI12" s="24"/>
      <c r="AJ12" s="24"/>
      <c r="AK12" s="259"/>
      <c r="AL12" s="185"/>
      <c r="AM12" s="246"/>
      <c r="AN12" s="36"/>
      <c r="AO12" s="16"/>
      <c r="AP12" s="246"/>
      <c r="AQ12" s="176"/>
      <c r="AR12" s="246" t="s">
        <v>73</v>
      </c>
      <c r="AS12" s="246" t="s">
        <v>633</v>
      </c>
      <c r="AT12" s="246"/>
      <c r="AU12" s="10"/>
    </row>
    <row r="13" spans="1:47" ht="19.5" customHeight="1" x14ac:dyDescent="0.35">
      <c r="A13" s="313">
        <v>1199</v>
      </c>
      <c r="B13" s="319">
        <v>2022</v>
      </c>
      <c r="C13" s="315"/>
      <c r="D13" s="314"/>
      <c r="E13" s="317" t="s">
        <v>614</v>
      </c>
      <c r="F13" s="318"/>
      <c r="G13" s="318"/>
      <c r="H13" s="319" t="s">
        <v>618</v>
      </c>
      <c r="I13" s="320">
        <v>1</v>
      </c>
      <c r="J13" s="321">
        <v>45466</v>
      </c>
      <c r="K13" s="321"/>
      <c r="L13" s="337" t="s">
        <v>91</v>
      </c>
      <c r="M13" s="331" t="s">
        <v>92</v>
      </c>
      <c r="N13" s="331" t="s">
        <v>93</v>
      </c>
      <c r="O13" s="324"/>
      <c r="P13" s="325"/>
      <c r="Q13" s="333"/>
      <c r="R13" s="326"/>
      <c r="S13" s="326"/>
      <c r="T13" s="326"/>
      <c r="U13" s="326"/>
      <c r="V13" s="326"/>
      <c r="W13" s="326"/>
      <c r="X13" s="326"/>
      <c r="Y13" s="326"/>
      <c r="Z13" s="326"/>
      <c r="AA13" s="27"/>
      <c r="AB13" s="20"/>
      <c r="AC13" s="20"/>
      <c r="AD13" s="252"/>
      <c r="AE13" s="176"/>
      <c r="AF13" s="253"/>
      <c r="AG13" s="177"/>
      <c r="AH13" s="177"/>
      <c r="AI13" s="19"/>
      <c r="AJ13" s="19"/>
      <c r="AK13" s="19"/>
      <c r="AL13" s="177"/>
      <c r="AM13" s="246"/>
      <c r="AN13" s="246"/>
      <c r="AO13" s="16"/>
      <c r="AP13" s="246"/>
      <c r="AQ13" s="176"/>
      <c r="AR13" s="177"/>
      <c r="AS13" s="246"/>
      <c r="AT13" s="246"/>
      <c r="AU13" s="10"/>
    </row>
    <row r="14" spans="1:47" ht="19.5" customHeight="1" x14ac:dyDescent="0.35">
      <c r="A14" s="313">
        <v>1202</v>
      </c>
      <c r="B14" s="319">
        <v>2022</v>
      </c>
      <c r="C14" s="338" t="s">
        <v>617</v>
      </c>
      <c r="D14" s="339"/>
      <c r="E14" s="317" t="s">
        <v>614</v>
      </c>
      <c r="F14" s="317"/>
      <c r="G14" s="317"/>
      <c r="H14" s="329" t="s">
        <v>60</v>
      </c>
      <c r="I14" s="320">
        <v>1</v>
      </c>
      <c r="J14" s="321">
        <v>45455</v>
      </c>
      <c r="K14" s="321"/>
      <c r="L14" s="337" t="s">
        <v>95</v>
      </c>
      <c r="M14" s="331">
        <v>292228953</v>
      </c>
      <c r="N14" s="331" t="s">
        <v>97</v>
      </c>
      <c r="O14" s="319"/>
      <c r="P14" s="319"/>
      <c r="Q14" s="333"/>
      <c r="R14" s="326"/>
      <c r="S14" s="326"/>
      <c r="T14" s="326"/>
      <c r="U14" s="326"/>
      <c r="V14" s="326"/>
      <c r="W14" s="326"/>
      <c r="X14" s="326"/>
      <c r="Y14" s="326"/>
      <c r="Z14" s="326"/>
      <c r="AA14" s="183"/>
      <c r="AB14" s="184"/>
      <c r="AC14" s="20"/>
      <c r="AD14" s="252"/>
      <c r="AE14" s="176"/>
      <c r="AF14" s="253"/>
      <c r="AG14" s="177"/>
      <c r="AH14" s="177"/>
      <c r="AI14" s="19" t="s">
        <v>73</v>
      </c>
      <c r="AJ14" s="310">
        <v>300</v>
      </c>
      <c r="AK14" s="19" t="s">
        <v>619</v>
      </c>
      <c r="AL14" s="177"/>
      <c r="AM14" s="246"/>
      <c r="AN14" s="246"/>
      <c r="AO14" s="16"/>
      <c r="AP14" s="246" t="s">
        <v>591</v>
      </c>
      <c r="AQ14" s="176"/>
      <c r="AR14" s="177"/>
      <c r="AS14" s="246"/>
      <c r="AT14" s="246"/>
      <c r="AU14" s="10"/>
    </row>
    <row r="15" spans="1:47" ht="19.5" customHeight="1" x14ac:dyDescent="0.35">
      <c r="A15" s="328">
        <v>1211</v>
      </c>
      <c r="B15" s="319">
        <v>2022</v>
      </c>
      <c r="C15" s="329" t="s">
        <v>617</v>
      </c>
      <c r="D15" s="330" t="s">
        <v>634</v>
      </c>
      <c r="E15" s="317" t="s">
        <v>614</v>
      </c>
      <c r="F15" s="318"/>
      <c r="G15" s="318"/>
      <c r="H15" s="319" t="s">
        <v>615</v>
      </c>
      <c r="I15" s="320">
        <v>1</v>
      </c>
      <c r="J15" s="321">
        <v>45462</v>
      </c>
      <c r="K15" s="321"/>
      <c r="L15" s="337" t="s">
        <v>101</v>
      </c>
      <c r="M15" s="331" t="s">
        <v>635</v>
      </c>
      <c r="N15" s="331" t="s">
        <v>102</v>
      </c>
      <c r="O15" s="340"/>
      <c r="P15" s="340"/>
      <c r="Q15" s="333"/>
      <c r="R15" s="340"/>
      <c r="S15" s="341"/>
      <c r="T15" s="341"/>
      <c r="U15" s="341"/>
      <c r="V15" s="341"/>
      <c r="W15" s="341"/>
      <c r="X15" s="341"/>
      <c r="Y15" s="341"/>
      <c r="Z15" s="341"/>
      <c r="AA15" s="183"/>
      <c r="AB15" s="184"/>
      <c r="AC15" s="39"/>
      <c r="AD15" s="254"/>
      <c r="AE15" s="255"/>
      <c r="AF15" s="257"/>
      <c r="AG15" s="253"/>
      <c r="AH15" s="253"/>
      <c r="AI15" s="27" t="s">
        <v>73</v>
      </c>
      <c r="AJ15" s="27" t="s">
        <v>299</v>
      </c>
      <c r="AK15" s="27" t="s">
        <v>636</v>
      </c>
      <c r="AL15" s="185"/>
      <c r="AM15" s="246"/>
      <c r="AN15" s="16"/>
      <c r="AO15" s="16">
        <v>400</v>
      </c>
      <c r="AP15" s="246" t="s">
        <v>591</v>
      </c>
      <c r="AQ15" s="176"/>
      <c r="AR15" s="246"/>
      <c r="AS15" s="246"/>
      <c r="AT15" s="18"/>
      <c r="AU15" s="10"/>
    </row>
    <row r="16" spans="1:47" ht="19.5" customHeight="1" x14ac:dyDescent="0.35">
      <c r="A16" s="328">
        <v>1213</v>
      </c>
      <c r="B16" s="319">
        <v>2022</v>
      </c>
      <c r="C16" s="329" t="s">
        <v>617</v>
      </c>
      <c r="D16" s="332"/>
      <c r="E16" s="317" t="s">
        <v>614</v>
      </c>
      <c r="F16" s="335">
        <v>45447</v>
      </c>
      <c r="G16" s="335"/>
      <c r="H16" s="319" t="s">
        <v>616</v>
      </c>
      <c r="I16" s="320">
        <v>1</v>
      </c>
      <c r="J16" s="321">
        <v>45462</v>
      </c>
      <c r="K16" s="321"/>
      <c r="L16" s="337" t="s">
        <v>105</v>
      </c>
      <c r="M16" s="327" t="s">
        <v>107</v>
      </c>
      <c r="N16" s="327" t="s">
        <v>108</v>
      </c>
      <c r="O16" s="325"/>
      <c r="P16" s="325"/>
      <c r="Q16" s="333"/>
      <c r="R16" s="325"/>
      <c r="S16" s="325"/>
      <c r="T16" s="325"/>
      <c r="U16" s="325"/>
      <c r="V16" s="325"/>
      <c r="W16" s="325"/>
      <c r="X16" s="325"/>
      <c r="Y16" s="325"/>
      <c r="Z16" s="325"/>
      <c r="AA16" s="29"/>
      <c r="AB16" s="196"/>
      <c r="AC16" s="23"/>
      <c r="AD16" s="254"/>
      <c r="AE16" s="255"/>
      <c r="AF16" s="257"/>
      <c r="AG16" s="253"/>
      <c r="AH16" s="253"/>
      <c r="AI16" s="27" t="s">
        <v>73</v>
      </c>
      <c r="AJ16" s="27" t="s">
        <v>637</v>
      </c>
      <c r="AK16" s="27" t="s">
        <v>638</v>
      </c>
      <c r="AL16" s="185"/>
      <c r="AM16" s="246"/>
      <c r="AN16" s="16"/>
      <c r="AO16" s="16">
        <v>300</v>
      </c>
      <c r="AP16" s="18"/>
      <c r="AQ16" s="39"/>
      <c r="AR16" s="18"/>
      <c r="AS16" s="18"/>
      <c r="AT16" s="246"/>
      <c r="AU16" s="78"/>
    </row>
    <row r="17" spans="1:42" ht="19.5" customHeight="1" x14ac:dyDescent="0.35">
      <c r="A17" s="342">
        <v>1218</v>
      </c>
      <c r="B17" s="324">
        <v>2022</v>
      </c>
      <c r="C17" s="329" t="s">
        <v>617</v>
      </c>
      <c r="D17" s="330" t="s">
        <v>639</v>
      </c>
      <c r="E17" s="317" t="s">
        <v>614</v>
      </c>
      <c r="F17" s="343"/>
      <c r="G17" s="343"/>
      <c r="H17" s="319" t="s">
        <v>640</v>
      </c>
      <c r="I17" s="320">
        <v>1</v>
      </c>
      <c r="J17" s="321">
        <v>45467</v>
      </c>
      <c r="K17" s="321"/>
      <c r="L17" s="337" t="s">
        <v>114</v>
      </c>
      <c r="M17" s="331">
        <v>292467842</v>
      </c>
      <c r="N17" s="331" t="s">
        <v>115</v>
      </c>
      <c r="O17" s="324"/>
      <c r="P17" s="324"/>
      <c r="Q17" s="333"/>
      <c r="R17" s="324"/>
      <c r="S17" s="324"/>
      <c r="T17" s="324"/>
      <c r="U17" s="324"/>
      <c r="V17" s="324"/>
      <c r="W17" s="324"/>
      <c r="X17" s="324"/>
      <c r="Y17" s="324"/>
      <c r="Z17" s="324"/>
      <c r="AA17" s="183"/>
      <c r="AB17" s="184"/>
      <c r="AC17" s="39"/>
      <c r="AD17" s="254"/>
      <c r="AE17" s="255"/>
      <c r="AF17" s="257"/>
      <c r="AG17" s="253"/>
      <c r="AH17" s="253"/>
      <c r="AI17" s="260"/>
      <c r="AJ17" s="310">
        <v>0</v>
      </c>
      <c r="AK17" s="181"/>
      <c r="AL17" s="261"/>
      <c r="AM17" s="18"/>
      <c r="AN17" s="16"/>
      <c r="AO17" s="16">
        <v>0</v>
      </c>
      <c r="AP17" s="185"/>
    </row>
    <row r="18" spans="1:42" ht="19.5" customHeight="1" x14ac:dyDescent="0.35">
      <c r="A18" s="328">
        <v>1239</v>
      </c>
      <c r="B18" s="319">
        <v>2022</v>
      </c>
      <c r="C18" s="329" t="s">
        <v>617</v>
      </c>
      <c r="D18" s="332"/>
      <c r="E18" s="317" t="s">
        <v>614</v>
      </c>
      <c r="F18" s="344" t="s">
        <v>641</v>
      </c>
      <c r="G18" s="344"/>
      <c r="H18" s="319" t="s">
        <v>615</v>
      </c>
      <c r="I18" s="320">
        <v>1</v>
      </c>
      <c r="J18" s="321">
        <v>45462</v>
      </c>
      <c r="K18" s="321"/>
      <c r="L18" s="322" t="s">
        <v>117</v>
      </c>
      <c r="M18" s="337">
        <v>295873590</v>
      </c>
      <c r="N18" s="337" t="s">
        <v>642</v>
      </c>
      <c r="O18" s="319"/>
      <c r="P18" s="319" t="s">
        <v>643</v>
      </c>
      <c r="Q18" s="333"/>
      <c r="R18" s="319"/>
      <c r="S18" s="319"/>
      <c r="T18" s="319"/>
      <c r="U18" s="319"/>
      <c r="V18" s="319"/>
      <c r="W18" s="319"/>
      <c r="X18" s="319"/>
      <c r="Y18" s="319"/>
      <c r="Z18" s="319"/>
      <c r="AA18" s="29"/>
      <c r="AB18" s="23"/>
      <c r="AC18" s="24"/>
      <c r="AD18" s="254"/>
      <c r="AE18" s="255"/>
      <c r="AF18" s="257"/>
      <c r="AG18" s="176"/>
      <c r="AH18" s="176"/>
      <c r="AI18" s="181"/>
      <c r="AJ18" s="181"/>
      <c r="AK18" s="181"/>
      <c r="AL18" s="185"/>
      <c r="AM18" s="246"/>
      <c r="AN18" s="16"/>
      <c r="AO18" s="16">
        <v>400</v>
      </c>
      <c r="AP18" s="18" t="s">
        <v>591</v>
      </c>
    </row>
    <row r="19" spans="1:42" ht="19.5" customHeight="1" x14ac:dyDescent="0.35">
      <c r="A19" s="313">
        <v>1239</v>
      </c>
      <c r="B19" s="319"/>
      <c r="C19" s="315"/>
      <c r="D19" s="345" t="s">
        <v>644</v>
      </c>
      <c r="E19" s="317" t="s">
        <v>614</v>
      </c>
      <c r="F19" s="318"/>
      <c r="G19" s="318"/>
      <c r="H19" s="319" t="s">
        <v>616</v>
      </c>
      <c r="I19" s="320">
        <v>1</v>
      </c>
      <c r="J19" s="321">
        <v>45460</v>
      </c>
      <c r="K19" s="321"/>
      <c r="L19" s="337" t="s">
        <v>125</v>
      </c>
      <c r="M19" s="327" t="s">
        <v>123</v>
      </c>
      <c r="N19" s="323" t="s">
        <v>124</v>
      </c>
      <c r="O19" s="324"/>
      <c r="P19" s="325"/>
      <c r="Q19" s="333"/>
      <c r="R19" s="326"/>
      <c r="S19" s="326"/>
      <c r="T19" s="326"/>
      <c r="U19" s="326"/>
      <c r="V19" s="326"/>
      <c r="W19" s="326"/>
      <c r="X19" s="326"/>
      <c r="Y19" s="326"/>
      <c r="Z19" s="326"/>
      <c r="AA19" s="27"/>
      <c r="AB19" s="20"/>
      <c r="AC19" s="20"/>
      <c r="AD19" s="252"/>
      <c r="AE19" s="176"/>
      <c r="AF19" s="253"/>
      <c r="AG19" s="177"/>
      <c r="AH19" s="177"/>
      <c r="AI19" s="19"/>
      <c r="AJ19" s="19"/>
      <c r="AK19" s="19"/>
      <c r="AL19" s="177"/>
      <c r="AM19" s="246"/>
      <c r="AN19" s="246"/>
      <c r="AO19" s="16"/>
      <c r="AP19" s="246"/>
    </row>
    <row r="20" spans="1:42" ht="19.5" customHeight="1" x14ac:dyDescent="0.35">
      <c r="A20" s="240">
        <v>1246</v>
      </c>
      <c r="B20" s="37">
        <v>2022</v>
      </c>
      <c r="C20" s="241" t="s">
        <v>617</v>
      </c>
      <c r="D20" s="251"/>
      <c r="E20" s="37"/>
      <c r="F20" s="278" t="s">
        <v>645</v>
      </c>
      <c r="G20" s="278"/>
      <c r="H20" s="37" t="s">
        <v>646</v>
      </c>
      <c r="I20" s="244">
        <v>0</v>
      </c>
      <c r="J20" s="297" t="s">
        <v>647</v>
      </c>
      <c r="K20" s="278"/>
      <c r="L20" s="277" t="s">
        <v>127</v>
      </c>
      <c r="M20" s="299" t="s">
        <v>128</v>
      </c>
      <c r="N20" s="299" t="s">
        <v>129</v>
      </c>
      <c r="O20" s="16"/>
      <c r="P20" s="16"/>
      <c r="Q20" s="304"/>
      <c r="R20" s="16"/>
      <c r="S20" s="16"/>
      <c r="T20" s="16"/>
      <c r="U20" s="16"/>
      <c r="V20" s="16"/>
      <c r="W20" s="16"/>
      <c r="X20" s="16"/>
      <c r="Y20" s="16"/>
      <c r="Z20" s="16"/>
      <c r="AA20" s="199" t="s">
        <v>51</v>
      </c>
      <c r="AB20" s="197"/>
      <c r="AC20" s="24"/>
      <c r="AD20" s="262"/>
      <c r="AE20" s="263"/>
      <c r="AF20" s="264"/>
      <c r="AG20" s="176"/>
      <c r="AH20" s="176"/>
      <c r="AI20" s="259"/>
      <c r="AJ20" s="259"/>
      <c r="AK20" s="259"/>
      <c r="AL20" s="256"/>
      <c r="AM20" s="247"/>
      <c r="AN20" s="16"/>
      <c r="AO20" s="16"/>
      <c r="AP20" s="19"/>
    </row>
    <row r="21" spans="1:42" ht="19.5" customHeight="1" x14ac:dyDescent="0.35">
      <c r="A21" s="328">
        <v>1244</v>
      </c>
      <c r="B21" s="319">
        <v>2022</v>
      </c>
      <c r="C21" s="329" t="s">
        <v>617</v>
      </c>
      <c r="D21" s="330"/>
      <c r="E21" s="317" t="s">
        <v>614</v>
      </c>
      <c r="F21" s="346"/>
      <c r="G21" s="346"/>
      <c r="H21" s="319" t="s">
        <v>204</v>
      </c>
      <c r="I21" s="320">
        <v>1</v>
      </c>
      <c r="J21" s="321">
        <v>45464</v>
      </c>
      <c r="K21" s="321"/>
      <c r="L21" s="322" t="s">
        <v>131</v>
      </c>
      <c r="M21" s="337" t="s">
        <v>133</v>
      </c>
      <c r="N21" s="337" t="s">
        <v>134</v>
      </c>
      <c r="O21" s="319"/>
      <c r="P21" s="319"/>
      <c r="Q21" s="333"/>
      <c r="R21" s="319"/>
      <c r="S21" s="319"/>
      <c r="T21" s="319"/>
      <c r="U21" s="319"/>
      <c r="V21" s="319"/>
      <c r="W21" s="319"/>
      <c r="X21" s="319"/>
      <c r="Y21" s="319"/>
      <c r="Z21" s="319"/>
      <c r="AA21" s="239"/>
      <c r="AB21" s="23"/>
      <c r="AC21" s="24"/>
      <c r="AD21" s="254"/>
      <c r="AE21" s="255"/>
      <c r="AF21" s="257"/>
      <c r="AG21" s="176"/>
      <c r="AH21" s="176"/>
      <c r="AI21" s="29"/>
      <c r="AJ21" s="29"/>
      <c r="AK21" s="259"/>
      <c r="AL21" s="185"/>
      <c r="AM21" s="246"/>
      <c r="AN21" s="16"/>
      <c r="AO21" s="16">
        <v>400</v>
      </c>
      <c r="AP21" s="18" t="s">
        <v>591</v>
      </c>
    </row>
    <row r="22" spans="1:42" ht="19.5" customHeight="1" x14ac:dyDescent="0.35">
      <c r="A22" s="347">
        <v>1251</v>
      </c>
      <c r="B22" s="348"/>
      <c r="C22" s="349"/>
      <c r="D22" s="350"/>
      <c r="E22" s="317" t="s">
        <v>614</v>
      </c>
      <c r="F22" s="351"/>
      <c r="G22" s="351"/>
      <c r="H22" s="352" t="s">
        <v>646</v>
      </c>
      <c r="I22" s="320">
        <v>1</v>
      </c>
      <c r="J22" s="321">
        <v>45469</v>
      </c>
      <c r="K22" s="321"/>
      <c r="L22" s="353" t="s">
        <v>136</v>
      </c>
      <c r="M22" s="323">
        <v>302330682</v>
      </c>
      <c r="N22" s="323" t="s">
        <v>137</v>
      </c>
      <c r="O22" s="348"/>
      <c r="P22" s="348"/>
      <c r="Q22" s="333"/>
      <c r="R22" s="348"/>
      <c r="S22" s="349"/>
      <c r="T22" s="349"/>
      <c r="U22" s="349"/>
      <c r="V22" s="349"/>
      <c r="W22" s="349"/>
      <c r="X22" s="349"/>
      <c r="Y22" s="349"/>
      <c r="Z22" s="349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</row>
    <row r="23" spans="1:42" ht="19.5" customHeight="1" x14ac:dyDescent="0.35">
      <c r="A23" s="328">
        <v>1259</v>
      </c>
      <c r="B23" s="319">
        <v>2022</v>
      </c>
      <c r="C23" s="326" t="s">
        <v>617</v>
      </c>
      <c r="D23" s="334"/>
      <c r="E23" s="319" t="s">
        <v>73</v>
      </c>
      <c r="F23" s="321"/>
      <c r="G23" s="321"/>
      <c r="H23" s="319" t="s">
        <v>204</v>
      </c>
      <c r="I23" s="320">
        <v>1</v>
      </c>
      <c r="J23" s="321">
        <v>45469</v>
      </c>
      <c r="K23" s="321"/>
      <c r="L23" s="322" t="s">
        <v>139</v>
      </c>
      <c r="M23" s="323" t="s">
        <v>140</v>
      </c>
      <c r="N23" s="323" t="s">
        <v>141</v>
      </c>
      <c r="O23" s="336"/>
      <c r="P23" s="325"/>
      <c r="Q23" s="333"/>
      <c r="R23" s="325"/>
      <c r="S23" s="325"/>
      <c r="T23" s="325"/>
      <c r="U23" s="325"/>
      <c r="V23" s="325"/>
      <c r="W23" s="325"/>
      <c r="X23" s="325" t="s">
        <v>51</v>
      </c>
      <c r="Y23" s="325" t="s">
        <v>51</v>
      </c>
      <c r="Z23" s="325"/>
      <c r="AA23" s="195"/>
      <c r="AB23" s="23"/>
      <c r="AC23" s="23"/>
      <c r="AD23" s="254"/>
      <c r="AE23" s="255"/>
      <c r="AF23" s="257"/>
      <c r="AG23" s="26"/>
      <c r="AH23" s="26"/>
      <c r="AI23" s="23"/>
      <c r="AJ23" s="23"/>
      <c r="AK23" s="36"/>
      <c r="AL23" s="26"/>
      <c r="AM23" s="246"/>
      <c r="AN23" s="16"/>
      <c r="AO23" s="16">
        <v>1000</v>
      </c>
      <c r="AP23" s="26"/>
    </row>
    <row r="24" spans="1:42" ht="19.5" customHeight="1" x14ac:dyDescent="0.35">
      <c r="A24" s="240">
        <v>1261</v>
      </c>
      <c r="B24" s="37">
        <v>2022</v>
      </c>
      <c r="C24" s="241" t="s">
        <v>617</v>
      </c>
      <c r="D24" s="251"/>
      <c r="E24" s="279" t="s">
        <v>648</v>
      </c>
      <c r="F24" s="278" t="s">
        <v>645</v>
      </c>
      <c r="G24" s="278"/>
      <c r="H24" s="37" t="s">
        <v>646</v>
      </c>
      <c r="I24" s="244">
        <v>0</v>
      </c>
      <c r="J24" s="297" t="s">
        <v>647</v>
      </c>
      <c r="K24" s="38"/>
      <c r="L24" s="277" t="s">
        <v>143</v>
      </c>
      <c r="M24" s="299" t="s">
        <v>145</v>
      </c>
      <c r="N24" s="299" t="s">
        <v>146</v>
      </c>
      <c r="O24" s="16"/>
      <c r="P24" s="16"/>
      <c r="Q24" s="304"/>
      <c r="R24" s="16"/>
      <c r="S24" s="16"/>
      <c r="T24" s="16"/>
      <c r="U24" s="16"/>
      <c r="V24" s="16"/>
      <c r="W24" s="16"/>
      <c r="X24" s="16"/>
      <c r="Y24" s="16"/>
      <c r="Z24" s="16"/>
      <c r="AA24" s="199" t="s">
        <v>51</v>
      </c>
      <c r="AB24" s="197"/>
      <c r="AC24" s="24"/>
      <c r="AD24" s="262"/>
      <c r="AE24" s="263"/>
      <c r="AF24" s="264"/>
      <c r="AG24" s="176"/>
      <c r="AH24" s="176"/>
      <c r="AI24" s="259"/>
      <c r="AJ24" s="259"/>
      <c r="AK24" s="259"/>
      <c r="AL24" s="256"/>
      <c r="AM24" s="247"/>
      <c r="AN24" s="16"/>
      <c r="AO24" s="16"/>
      <c r="AP24" s="18"/>
    </row>
    <row r="25" spans="1:42" ht="19.5" customHeight="1" x14ac:dyDescent="0.35">
      <c r="A25" s="2">
        <v>1274</v>
      </c>
      <c r="B25" s="16"/>
      <c r="C25" s="180"/>
      <c r="D25" s="250"/>
      <c r="E25" s="222" t="s">
        <v>648</v>
      </c>
      <c r="F25" s="190">
        <v>45447</v>
      </c>
      <c r="G25" s="190" t="s">
        <v>182</v>
      </c>
      <c r="H25" s="16"/>
      <c r="I25" s="43">
        <v>0</v>
      </c>
      <c r="J25" s="23"/>
      <c r="K25" s="23" t="s">
        <v>61</v>
      </c>
      <c r="L25" s="205" t="s">
        <v>507</v>
      </c>
      <c r="M25" s="301"/>
      <c r="N25" s="42"/>
      <c r="O25" s="1"/>
      <c r="P25" s="1"/>
      <c r="Q25" s="304"/>
      <c r="R25" s="1"/>
      <c r="S25" s="1"/>
      <c r="T25" s="1"/>
      <c r="U25" s="1"/>
      <c r="V25" s="1"/>
      <c r="W25" s="1"/>
      <c r="X25" s="1"/>
      <c r="Y25" s="1"/>
      <c r="Z25" s="1"/>
      <c r="AA25" s="283"/>
      <c r="AB25" s="284"/>
      <c r="AC25" s="190"/>
      <c r="AD25" s="265"/>
      <c r="AE25" s="266"/>
      <c r="AF25" s="267"/>
      <c r="AG25" s="268"/>
      <c r="AH25" s="198"/>
      <c r="AI25" s="259"/>
      <c r="AJ25" s="259"/>
      <c r="AK25" s="259"/>
      <c r="AL25" s="247"/>
      <c r="AM25" s="18"/>
      <c r="AN25" s="16"/>
      <c r="AO25" s="16"/>
      <c r="AP25" s="186"/>
    </row>
    <row r="26" spans="1:42" ht="19.5" customHeight="1" x14ac:dyDescent="0.35">
      <c r="A26" s="240">
        <v>1280</v>
      </c>
      <c r="B26" s="37"/>
      <c r="C26" s="241"/>
      <c r="D26" s="251"/>
      <c r="E26" s="37" t="s">
        <v>648</v>
      </c>
      <c r="F26" s="278">
        <v>45447</v>
      </c>
      <c r="G26" s="278" t="s">
        <v>182</v>
      </c>
      <c r="H26" s="37"/>
      <c r="I26" s="43">
        <v>0</v>
      </c>
      <c r="J26" s="297" t="s">
        <v>647</v>
      </c>
      <c r="K26" s="37"/>
      <c r="L26" s="277" t="s">
        <v>649</v>
      </c>
      <c r="M26" s="301"/>
      <c r="N26" s="42"/>
      <c r="O26" s="1"/>
      <c r="P26" s="1"/>
      <c r="Q26" s="304"/>
      <c r="R26" s="1"/>
      <c r="S26" s="1"/>
      <c r="T26" s="1"/>
      <c r="U26" s="1"/>
      <c r="V26" s="1"/>
      <c r="W26" s="1"/>
      <c r="X26" s="1"/>
      <c r="Y26" s="1"/>
      <c r="Z26" s="1"/>
      <c r="AA26" s="283"/>
      <c r="AB26" s="284"/>
      <c r="AC26" s="190"/>
      <c r="AD26" s="265"/>
      <c r="AE26" s="266"/>
      <c r="AF26" s="267"/>
      <c r="AG26" s="268"/>
      <c r="AH26" s="198"/>
      <c r="AI26" s="259"/>
      <c r="AJ26" s="259"/>
      <c r="AK26" s="259"/>
      <c r="AL26" s="247"/>
      <c r="AM26" s="18"/>
      <c r="AN26" s="16"/>
      <c r="AO26" s="16"/>
      <c r="AP26" s="186"/>
    </row>
    <row r="27" spans="1:42" ht="19.5" customHeight="1" x14ac:dyDescent="0.35">
      <c r="A27" s="328">
        <v>1281</v>
      </c>
      <c r="B27" s="319"/>
      <c r="C27" s="329"/>
      <c r="D27" s="334" t="s">
        <v>650</v>
      </c>
      <c r="E27" s="317" t="s">
        <v>614</v>
      </c>
      <c r="F27" s="335" t="s">
        <v>651</v>
      </c>
      <c r="G27" s="335"/>
      <c r="H27" s="319" t="s">
        <v>646</v>
      </c>
      <c r="I27" s="320">
        <v>1</v>
      </c>
      <c r="J27" s="321">
        <v>45460</v>
      </c>
      <c r="K27" s="321"/>
      <c r="L27" s="354" t="s">
        <v>148</v>
      </c>
      <c r="M27" s="327" t="s">
        <v>149</v>
      </c>
      <c r="N27" s="327" t="s">
        <v>150</v>
      </c>
      <c r="O27" s="319">
        <v>304411612</v>
      </c>
      <c r="P27" s="319" t="s">
        <v>652</v>
      </c>
      <c r="Q27" s="333"/>
      <c r="R27" s="355"/>
      <c r="S27" s="355"/>
      <c r="T27" s="355"/>
      <c r="U27" s="355"/>
      <c r="V27" s="355"/>
      <c r="W27" s="355"/>
      <c r="X27" s="355"/>
      <c r="Y27" s="355"/>
      <c r="Z27" s="355"/>
      <c r="AA27" s="283"/>
      <c r="AB27" s="284"/>
      <c r="AC27" s="190"/>
      <c r="AD27" s="265"/>
      <c r="AE27" s="266"/>
      <c r="AF27" s="267"/>
      <c r="AG27" s="268"/>
      <c r="AH27" s="198"/>
      <c r="AI27" s="286" t="s">
        <v>73</v>
      </c>
      <c r="AJ27" s="286" t="s">
        <v>299</v>
      </c>
      <c r="AK27" s="286" t="s">
        <v>653</v>
      </c>
      <c r="AL27" s="247"/>
      <c r="AM27" s="18"/>
      <c r="AN27" s="16"/>
      <c r="AO27" s="16"/>
      <c r="AP27" s="186"/>
    </row>
    <row r="28" spans="1:42" ht="19.5" customHeight="1" x14ac:dyDescent="0.35">
      <c r="A28" s="313">
        <v>1287</v>
      </c>
      <c r="B28" s="319"/>
      <c r="C28" s="315"/>
      <c r="D28" s="356"/>
      <c r="E28" s="317" t="s">
        <v>614</v>
      </c>
      <c r="F28" s="318"/>
      <c r="G28" s="335" t="s">
        <v>182</v>
      </c>
      <c r="H28" s="319" t="s">
        <v>618</v>
      </c>
      <c r="I28" s="320">
        <v>1</v>
      </c>
      <c r="J28" s="321">
        <v>45466</v>
      </c>
      <c r="K28" s="321"/>
      <c r="L28" s="337" t="s">
        <v>152</v>
      </c>
      <c r="M28" s="327" t="s">
        <v>153</v>
      </c>
      <c r="N28" s="327" t="s">
        <v>154</v>
      </c>
      <c r="O28" s="324"/>
      <c r="P28" s="325"/>
      <c r="Q28" s="333"/>
      <c r="R28" s="326"/>
      <c r="S28" s="326"/>
      <c r="T28" s="326"/>
      <c r="U28" s="326"/>
      <c r="V28" s="326"/>
      <c r="W28" s="326"/>
      <c r="X28" s="326"/>
      <c r="Y28" s="326"/>
      <c r="Z28" s="326" t="s">
        <v>51</v>
      </c>
      <c r="AA28" s="27"/>
      <c r="AB28" s="20"/>
      <c r="AC28" s="20"/>
      <c r="AD28" s="252"/>
      <c r="AE28" s="176"/>
      <c r="AF28" s="253"/>
      <c r="AG28" s="177"/>
      <c r="AH28" s="177"/>
      <c r="AI28" s="19" t="s">
        <v>73</v>
      </c>
      <c r="AJ28" s="310">
        <v>500</v>
      </c>
      <c r="AK28" s="19" t="s">
        <v>654</v>
      </c>
      <c r="AL28" s="177"/>
      <c r="AM28" s="246"/>
      <c r="AN28" s="246"/>
      <c r="AO28" s="16">
        <v>500</v>
      </c>
      <c r="AP28" s="246"/>
    </row>
    <row r="29" spans="1:42" ht="19.5" customHeight="1" x14ac:dyDescent="0.35">
      <c r="A29" s="328">
        <v>1298</v>
      </c>
      <c r="B29" s="319">
        <v>2022</v>
      </c>
      <c r="C29" s="329" t="s">
        <v>617</v>
      </c>
      <c r="D29" s="334"/>
      <c r="E29" s="317" t="s">
        <v>614</v>
      </c>
      <c r="F29" s="343"/>
      <c r="G29" s="343"/>
      <c r="H29" s="319" t="s">
        <v>49</v>
      </c>
      <c r="I29" s="320">
        <v>1</v>
      </c>
      <c r="J29" s="321">
        <v>45469</v>
      </c>
      <c r="K29" s="321"/>
      <c r="L29" s="337" t="s">
        <v>156</v>
      </c>
      <c r="M29" s="337">
        <v>288699645</v>
      </c>
      <c r="N29" s="327" t="s">
        <v>157</v>
      </c>
      <c r="O29" s="319">
        <v>288637135</v>
      </c>
      <c r="P29" s="319" t="s">
        <v>159</v>
      </c>
      <c r="Q29" s="333">
        <v>290197112</v>
      </c>
      <c r="R29" s="319" t="s">
        <v>162</v>
      </c>
      <c r="S29" s="319"/>
      <c r="T29" s="319"/>
      <c r="U29" s="319"/>
      <c r="V29" s="325"/>
      <c r="W29" s="325"/>
      <c r="X29" s="325"/>
      <c r="Y29" s="325"/>
      <c r="Z29" s="325"/>
      <c r="AA29" s="24"/>
      <c r="AB29" s="23"/>
      <c r="AC29" s="24"/>
      <c r="AD29" s="254"/>
      <c r="AE29" s="255"/>
      <c r="AF29" s="257"/>
      <c r="AG29" s="269"/>
      <c r="AH29" s="269"/>
      <c r="AI29" s="258"/>
      <c r="AJ29" s="258"/>
      <c r="AK29" s="258" t="s">
        <v>591</v>
      </c>
      <c r="AL29" s="186"/>
      <c r="AM29" s="246"/>
      <c r="AN29" s="16"/>
      <c r="AO29" s="16">
        <v>400</v>
      </c>
      <c r="AP29" s="186"/>
    </row>
    <row r="30" spans="1:42" ht="19.5" customHeight="1" x14ac:dyDescent="0.35">
      <c r="A30" s="240">
        <v>1304</v>
      </c>
      <c r="B30" s="37">
        <v>2022</v>
      </c>
      <c r="C30" s="241" t="s">
        <v>617</v>
      </c>
      <c r="D30" s="251"/>
      <c r="E30" s="242" t="s">
        <v>614</v>
      </c>
      <c r="F30" s="243"/>
      <c r="G30" s="282"/>
      <c r="H30" s="37"/>
      <c r="I30" s="244">
        <v>0</v>
      </c>
      <c r="J30" s="297" t="s">
        <v>655</v>
      </c>
      <c r="K30" s="38"/>
      <c r="L30" s="277" t="s">
        <v>163</v>
      </c>
      <c r="M30" s="306">
        <v>300776497</v>
      </c>
      <c r="N30" s="306" t="s">
        <v>656</v>
      </c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285" t="s">
        <v>51</v>
      </c>
      <c r="AB30" s="197">
        <v>45452</v>
      </c>
      <c r="AC30" s="24"/>
      <c r="AD30" s="254"/>
      <c r="AE30" s="255"/>
      <c r="AF30" s="33"/>
      <c r="AG30" s="176"/>
      <c r="AH30" s="176"/>
      <c r="AI30" s="24"/>
      <c r="AJ30" s="24"/>
      <c r="AK30" s="24"/>
      <c r="AL30" s="247"/>
      <c r="AM30" s="18"/>
      <c r="AN30" s="16"/>
      <c r="AO30" s="16"/>
      <c r="AP30" s="246"/>
    </row>
    <row r="31" spans="1:42" ht="18.75" customHeight="1" x14ac:dyDescent="0.35">
      <c r="A31" s="313">
        <v>1311</v>
      </c>
      <c r="B31" s="319">
        <v>2021</v>
      </c>
      <c r="C31" s="315"/>
      <c r="D31" s="357"/>
      <c r="E31" s="317" t="s">
        <v>614</v>
      </c>
      <c r="F31" s="318"/>
      <c r="G31" s="318"/>
      <c r="H31" s="319" t="s">
        <v>49</v>
      </c>
      <c r="I31" s="320">
        <v>1</v>
      </c>
      <c r="J31" s="321">
        <v>45471</v>
      </c>
      <c r="K31" s="321"/>
      <c r="L31" s="337" t="s">
        <v>166</v>
      </c>
      <c r="M31" s="323" t="s">
        <v>167</v>
      </c>
      <c r="N31" s="323" t="s">
        <v>168</v>
      </c>
      <c r="O31" s="324" t="s">
        <v>170</v>
      </c>
      <c r="P31" s="340" t="s">
        <v>171</v>
      </c>
      <c r="Q31" s="333" t="s">
        <v>172</v>
      </c>
      <c r="R31" s="358"/>
      <c r="S31" s="326"/>
      <c r="T31" s="326"/>
      <c r="U31" s="326"/>
      <c r="V31" s="326"/>
      <c r="W31" s="326"/>
      <c r="X31" s="326"/>
      <c r="Y31" s="326"/>
      <c r="Z31" s="326"/>
      <c r="AA31" s="27"/>
      <c r="AB31" s="20"/>
      <c r="AC31" s="20"/>
      <c r="AD31" s="252"/>
      <c r="AE31" s="176"/>
      <c r="AF31" s="253"/>
      <c r="AG31" s="177"/>
      <c r="AH31" s="177"/>
      <c r="AI31" s="19"/>
      <c r="AJ31" s="19"/>
      <c r="AK31" s="19"/>
      <c r="AL31" s="177"/>
      <c r="AM31" s="246"/>
      <c r="AN31" s="246"/>
      <c r="AO31" s="16"/>
      <c r="AP31" s="246"/>
    </row>
    <row r="32" spans="1:42" ht="19.5" customHeight="1" x14ac:dyDescent="0.35">
      <c r="A32" s="328">
        <v>1311</v>
      </c>
      <c r="B32" s="319">
        <v>2022</v>
      </c>
      <c r="C32" s="329"/>
      <c r="D32" s="332"/>
      <c r="E32" s="317" t="s">
        <v>614</v>
      </c>
      <c r="F32" s="318"/>
      <c r="G32" s="318"/>
      <c r="H32" s="319" t="s">
        <v>657</v>
      </c>
      <c r="I32" s="320">
        <v>1</v>
      </c>
      <c r="J32" s="321">
        <v>45471</v>
      </c>
      <c r="K32" s="321"/>
      <c r="L32" s="337" t="s">
        <v>173</v>
      </c>
      <c r="M32" s="327" t="s">
        <v>171</v>
      </c>
      <c r="N32" s="327" t="s">
        <v>174</v>
      </c>
      <c r="O32" s="325"/>
      <c r="P32" s="325"/>
      <c r="Q32" s="333"/>
      <c r="R32" s="359"/>
      <c r="S32" s="325"/>
      <c r="T32" s="325"/>
      <c r="U32" s="325"/>
      <c r="V32" s="325"/>
      <c r="W32" s="325"/>
      <c r="X32" s="325"/>
      <c r="Y32" s="325"/>
      <c r="Z32" s="325"/>
      <c r="AA32" s="24"/>
      <c r="AB32" s="23"/>
      <c r="AC32" s="255"/>
      <c r="AD32" s="265"/>
      <c r="AE32" s="266"/>
      <c r="AF32" s="186"/>
      <c r="AG32" s="186"/>
      <c r="AH32" s="186"/>
      <c r="AI32" s="181"/>
      <c r="AJ32" s="181"/>
      <c r="AK32" s="258"/>
      <c r="AL32" s="247"/>
      <c r="AM32" s="186"/>
      <c r="AN32" s="16"/>
      <c r="AO32" s="16">
        <v>200</v>
      </c>
      <c r="AP32" s="248"/>
    </row>
    <row r="33" spans="1:47" ht="19.5" customHeight="1" x14ac:dyDescent="0.35">
      <c r="A33" s="328">
        <v>1317</v>
      </c>
      <c r="B33" s="319"/>
      <c r="C33" s="329"/>
      <c r="D33" s="332"/>
      <c r="E33" s="317" t="s">
        <v>614</v>
      </c>
      <c r="F33" s="318"/>
      <c r="G33" s="335" t="s">
        <v>182</v>
      </c>
      <c r="H33" s="319" t="s">
        <v>646</v>
      </c>
      <c r="I33" s="320">
        <v>1</v>
      </c>
      <c r="J33" s="321">
        <v>45429</v>
      </c>
      <c r="K33" s="321"/>
      <c r="L33" s="337" t="s">
        <v>176</v>
      </c>
      <c r="M33" s="327" t="s">
        <v>177</v>
      </c>
      <c r="N33" s="327" t="s">
        <v>178</v>
      </c>
      <c r="O33" s="325" t="s">
        <v>180</v>
      </c>
      <c r="P33" s="325">
        <v>305645005</v>
      </c>
      <c r="Q33" s="333" t="s">
        <v>181</v>
      </c>
      <c r="R33" s="359"/>
      <c r="S33" s="325"/>
      <c r="T33" s="325"/>
      <c r="U33" s="325"/>
      <c r="V33" s="325"/>
      <c r="W33" s="325"/>
      <c r="X33" s="325" t="s">
        <v>182</v>
      </c>
      <c r="Y33" s="325" t="s">
        <v>182</v>
      </c>
      <c r="Z33" s="325"/>
      <c r="AA33" s="24"/>
      <c r="AB33" s="23"/>
      <c r="AC33" s="255"/>
      <c r="AD33" s="265"/>
      <c r="AE33" s="266"/>
      <c r="AF33" s="186"/>
      <c r="AG33" s="186"/>
      <c r="AH33" s="186"/>
      <c r="AI33" s="181" t="s">
        <v>73</v>
      </c>
      <c r="AJ33" s="181">
        <v>400</v>
      </c>
      <c r="AK33" s="258" t="s">
        <v>658</v>
      </c>
      <c r="AL33" s="247"/>
      <c r="AM33" s="186"/>
      <c r="AN33" s="16"/>
      <c r="AO33" s="16">
        <v>400</v>
      </c>
      <c r="AP33" s="248"/>
      <c r="AQ33" s="249"/>
      <c r="AR33" s="248"/>
      <c r="AS33" s="248"/>
      <c r="AT33" s="19"/>
      <c r="AU33" s="78"/>
    </row>
    <row r="34" spans="1:47" ht="19.5" customHeight="1" x14ac:dyDescent="0.35">
      <c r="A34" s="313">
        <v>1319</v>
      </c>
      <c r="B34" s="360"/>
      <c r="C34" s="338"/>
      <c r="D34" s="339"/>
      <c r="E34" s="317" t="s">
        <v>614</v>
      </c>
      <c r="F34" s="317"/>
      <c r="G34" s="317"/>
      <c r="H34" s="329" t="s">
        <v>646</v>
      </c>
      <c r="I34" s="320">
        <v>1</v>
      </c>
      <c r="J34" s="321">
        <v>45408</v>
      </c>
      <c r="K34" s="321"/>
      <c r="L34" s="337" t="s">
        <v>184</v>
      </c>
      <c r="M34" s="337" t="s">
        <v>186</v>
      </c>
      <c r="N34" s="337" t="s">
        <v>659</v>
      </c>
      <c r="O34" s="319" t="s">
        <v>189</v>
      </c>
      <c r="P34" s="319" t="s">
        <v>190</v>
      </c>
      <c r="Q34" s="333" t="s">
        <v>191</v>
      </c>
      <c r="R34" s="326"/>
      <c r="S34" s="326"/>
      <c r="T34" s="326"/>
      <c r="U34" s="326"/>
      <c r="V34" s="326"/>
      <c r="W34" s="326"/>
      <c r="X34" s="326" t="s">
        <v>182</v>
      </c>
      <c r="Y34" s="326" t="s">
        <v>182</v>
      </c>
      <c r="Z34" s="326"/>
      <c r="AA34" s="27"/>
      <c r="AB34" s="20"/>
      <c r="AC34" s="20" t="s">
        <v>660</v>
      </c>
      <c r="AD34" s="252"/>
      <c r="AE34" s="176"/>
      <c r="AF34" s="253"/>
      <c r="AG34" s="177"/>
      <c r="AH34" s="177"/>
      <c r="AI34" s="19" t="s">
        <v>73</v>
      </c>
      <c r="AJ34" s="310">
        <v>500</v>
      </c>
      <c r="AK34" s="19" t="s">
        <v>661</v>
      </c>
      <c r="AL34" s="177"/>
      <c r="AM34" s="246"/>
      <c r="AN34" s="246"/>
      <c r="AO34" s="16">
        <v>500</v>
      </c>
      <c r="AP34" s="246"/>
      <c r="AQ34" s="176"/>
      <c r="AR34" s="177"/>
      <c r="AS34" s="246"/>
      <c r="AT34" s="246"/>
      <c r="AU34" s="10"/>
    </row>
    <row r="35" spans="1:47" ht="19.5" customHeight="1" x14ac:dyDescent="0.35">
      <c r="A35" s="328">
        <v>1322</v>
      </c>
      <c r="B35" s="319"/>
      <c r="C35" s="326"/>
      <c r="D35" s="361"/>
      <c r="E35" s="362"/>
      <c r="F35" s="363"/>
      <c r="G35" s="363"/>
      <c r="H35" s="319" t="s">
        <v>49</v>
      </c>
      <c r="I35" s="320">
        <v>1</v>
      </c>
      <c r="J35" s="321">
        <v>45450</v>
      </c>
      <c r="K35" s="321"/>
      <c r="L35" s="364" t="s">
        <v>192</v>
      </c>
      <c r="M35" s="337" t="s">
        <v>193</v>
      </c>
      <c r="N35" s="337" t="s">
        <v>194</v>
      </c>
      <c r="O35" s="319"/>
      <c r="P35" s="319"/>
      <c r="Q35" s="333"/>
      <c r="R35" s="319"/>
      <c r="S35" s="319"/>
      <c r="T35" s="319"/>
      <c r="U35" s="319"/>
      <c r="V35" s="319"/>
      <c r="W35" s="319"/>
      <c r="X35" s="319" t="s">
        <v>51</v>
      </c>
      <c r="Y35" s="319"/>
      <c r="Z35" s="319"/>
      <c r="AA35" s="16"/>
      <c r="AB35" s="16"/>
      <c r="AC35" s="23"/>
      <c r="AD35" s="16"/>
      <c r="AE35" s="23"/>
      <c r="AF35" s="33"/>
      <c r="AG35" s="16"/>
      <c r="AH35" s="16"/>
      <c r="AI35" s="23" t="s">
        <v>662</v>
      </c>
      <c r="AJ35" s="310">
        <v>0</v>
      </c>
      <c r="AK35" s="23"/>
      <c r="AL35" s="185"/>
      <c r="AM35" s="246"/>
      <c r="AN35" s="19" t="s">
        <v>51</v>
      </c>
      <c r="AO35" s="16">
        <v>0</v>
      </c>
      <c r="AP35" s="246"/>
      <c r="AQ35" s="176"/>
      <c r="AR35" s="246"/>
      <c r="AS35" s="246"/>
      <c r="AT35" s="246"/>
      <c r="AU35" s="10"/>
    </row>
    <row r="36" spans="1:47" ht="19.5" customHeight="1" x14ac:dyDescent="0.35">
      <c r="A36" s="2">
        <v>1327</v>
      </c>
      <c r="B36" s="16"/>
      <c r="C36" s="19"/>
      <c r="D36" s="287" t="s">
        <v>663</v>
      </c>
      <c r="E36" s="202" t="s">
        <v>648</v>
      </c>
      <c r="F36" s="190">
        <v>45446</v>
      </c>
      <c r="G36" s="190"/>
      <c r="H36" s="16"/>
      <c r="I36" s="43">
        <v>0</v>
      </c>
      <c r="J36" s="23"/>
      <c r="K36" s="23" t="s">
        <v>61</v>
      </c>
      <c r="L36" s="208" t="s">
        <v>196</v>
      </c>
      <c r="M36" s="42" t="s">
        <v>197</v>
      </c>
      <c r="N36" s="42" t="s">
        <v>198</v>
      </c>
      <c r="O36" s="16"/>
      <c r="P36" s="16"/>
      <c r="Q36" s="304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23"/>
      <c r="AD36" s="16"/>
      <c r="AE36" s="23"/>
      <c r="AF36" s="33"/>
      <c r="AG36" s="16"/>
      <c r="AH36" s="16"/>
      <c r="AI36" s="23"/>
      <c r="AJ36" s="23"/>
      <c r="AK36" s="23"/>
      <c r="AL36" s="185"/>
      <c r="AM36" s="246"/>
      <c r="AN36" s="19"/>
      <c r="AO36" s="16"/>
      <c r="AP36" s="246"/>
      <c r="AQ36" s="176"/>
      <c r="AR36" s="246"/>
      <c r="AS36" s="246"/>
      <c r="AT36" s="246"/>
      <c r="AU36" s="10"/>
    </row>
    <row r="37" spans="1:47" ht="18" customHeight="1" x14ac:dyDescent="0.35">
      <c r="A37" s="313">
        <v>1344</v>
      </c>
      <c r="B37" s="360"/>
      <c r="C37" s="338"/>
      <c r="D37" s="365" t="s">
        <v>664</v>
      </c>
      <c r="E37" s="317" t="s">
        <v>614</v>
      </c>
      <c r="F37" s="318"/>
      <c r="G37" s="318"/>
      <c r="H37" s="329" t="s">
        <v>665</v>
      </c>
      <c r="I37" s="320">
        <v>1</v>
      </c>
      <c r="J37" s="321">
        <v>45467</v>
      </c>
      <c r="K37" s="321"/>
      <c r="L37" s="337" t="s">
        <v>200</v>
      </c>
      <c r="M37" s="337" t="s">
        <v>201</v>
      </c>
      <c r="N37" s="337" t="s">
        <v>202</v>
      </c>
      <c r="O37" s="326"/>
      <c r="P37" s="326"/>
      <c r="Q37" s="333"/>
      <c r="R37" s="326"/>
      <c r="S37" s="326"/>
      <c r="T37" s="326"/>
      <c r="U37" s="326"/>
      <c r="V37" s="326"/>
      <c r="W37" s="326"/>
      <c r="X37" s="326"/>
      <c r="Y37" s="326"/>
      <c r="Z37" s="326"/>
      <c r="AA37" s="27"/>
      <c r="AB37" s="20"/>
      <c r="AC37" s="20"/>
      <c r="AD37" s="252"/>
      <c r="AE37" s="176"/>
      <c r="AF37" s="253"/>
      <c r="AG37" s="26"/>
      <c r="AH37" s="26"/>
      <c r="AI37" s="26" t="s">
        <v>73</v>
      </c>
      <c r="AJ37" s="310">
        <v>500</v>
      </c>
      <c r="AK37" s="26" t="s">
        <v>666</v>
      </c>
      <c r="AL37" s="247"/>
      <c r="AM37" s="246"/>
      <c r="AN37" s="16"/>
      <c r="AO37" s="16"/>
      <c r="AP37" s="246"/>
      <c r="AQ37" s="176"/>
      <c r="AR37" s="246"/>
      <c r="AS37" s="246"/>
      <c r="AT37" s="26"/>
      <c r="AU37" s="54"/>
    </row>
    <row r="38" spans="1:47" ht="18" customHeight="1" x14ac:dyDescent="0.35">
      <c r="A38" s="313">
        <v>1348</v>
      </c>
      <c r="B38" s="360"/>
      <c r="C38" s="338"/>
      <c r="D38" s="365"/>
      <c r="E38" s="317" t="s">
        <v>614</v>
      </c>
      <c r="F38" s="318"/>
      <c r="G38" s="318"/>
      <c r="H38" s="329" t="s">
        <v>49</v>
      </c>
      <c r="I38" s="320">
        <v>1</v>
      </c>
      <c r="J38" s="321">
        <v>45455</v>
      </c>
      <c r="K38" s="321"/>
      <c r="L38" s="337" t="s">
        <v>213</v>
      </c>
      <c r="M38" s="337" t="s">
        <v>214</v>
      </c>
      <c r="N38" s="337" t="s">
        <v>667</v>
      </c>
      <c r="O38" s="326" t="s">
        <v>217</v>
      </c>
      <c r="P38" s="326" t="s">
        <v>218</v>
      </c>
      <c r="Q38" s="333" t="s">
        <v>668</v>
      </c>
      <c r="R38" s="326"/>
      <c r="S38" s="326"/>
      <c r="T38" s="326"/>
      <c r="U38" s="326"/>
      <c r="V38" s="326"/>
      <c r="W38" s="326"/>
      <c r="X38" s="326"/>
      <c r="Y38" s="326"/>
      <c r="Z38" s="326"/>
      <c r="AA38" s="27"/>
      <c r="AB38" s="20"/>
      <c r="AC38" s="20"/>
      <c r="AD38" s="252"/>
      <c r="AE38" s="176"/>
      <c r="AF38" s="253">
        <v>0</v>
      </c>
      <c r="AG38" s="26"/>
      <c r="AH38" s="26"/>
      <c r="AI38" s="26" t="s">
        <v>73</v>
      </c>
      <c r="AJ38" s="310">
        <v>850</v>
      </c>
      <c r="AK38" s="26" t="s">
        <v>669</v>
      </c>
      <c r="AL38" s="247"/>
      <c r="AM38" s="246"/>
      <c r="AN38" s="16"/>
      <c r="AO38" s="16">
        <v>850</v>
      </c>
      <c r="AP38" s="246"/>
      <c r="AQ38" s="176"/>
      <c r="AR38" s="246"/>
      <c r="AS38" s="246"/>
      <c r="AT38" s="26"/>
      <c r="AU38" s="54"/>
    </row>
    <row r="39" spans="1:47" ht="19.5" customHeight="1" x14ac:dyDescent="0.35">
      <c r="A39" s="328">
        <v>1350</v>
      </c>
      <c r="B39" s="319"/>
      <c r="C39" s="326"/>
      <c r="D39" s="361" t="s">
        <v>670</v>
      </c>
      <c r="E39" s="317" t="s">
        <v>614</v>
      </c>
      <c r="F39" s="335" t="s">
        <v>671</v>
      </c>
      <c r="G39" s="335"/>
      <c r="H39" s="319" t="s">
        <v>49</v>
      </c>
      <c r="I39" s="320">
        <v>1</v>
      </c>
      <c r="J39" s="321">
        <v>45459</v>
      </c>
      <c r="K39" s="321"/>
      <c r="L39" s="354" t="s">
        <v>222</v>
      </c>
      <c r="M39" s="323" t="s">
        <v>223</v>
      </c>
      <c r="N39" s="323" t="s">
        <v>224</v>
      </c>
      <c r="O39" s="336"/>
      <c r="P39" s="325"/>
      <c r="Q39" s="333"/>
      <c r="R39" s="325"/>
      <c r="S39" s="325"/>
      <c r="T39" s="325"/>
      <c r="U39" s="325"/>
      <c r="V39" s="325"/>
      <c r="W39" s="325"/>
      <c r="X39" s="325" t="s">
        <v>51</v>
      </c>
      <c r="Y39" s="325" t="s">
        <v>51</v>
      </c>
      <c r="Z39" s="325"/>
      <c r="AA39" s="16"/>
      <c r="AB39" s="23"/>
      <c r="AC39" s="23"/>
      <c r="AD39" s="254"/>
      <c r="AE39" s="255"/>
      <c r="AF39" s="257"/>
      <c r="AG39" s="26"/>
      <c r="AH39" s="26"/>
      <c r="AI39" s="23"/>
      <c r="AJ39" s="23"/>
      <c r="AK39" s="36"/>
      <c r="AL39" s="26"/>
      <c r="AM39" s="246"/>
      <c r="AN39" s="16"/>
      <c r="AO39" s="16">
        <v>400</v>
      </c>
      <c r="AP39" s="246"/>
      <c r="AQ39" s="176"/>
      <c r="AR39" s="246" t="s">
        <v>99</v>
      </c>
      <c r="AS39" s="246" t="s">
        <v>73</v>
      </c>
      <c r="AT39" s="194"/>
      <c r="AU39" s="10"/>
    </row>
    <row r="40" spans="1:47" ht="19.5" customHeight="1" x14ac:dyDescent="0.35">
      <c r="A40" s="328">
        <v>1352</v>
      </c>
      <c r="B40" s="319"/>
      <c r="C40" s="326"/>
      <c r="D40" s="361" t="s">
        <v>670</v>
      </c>
      <c r="E40" s="317" t="s">
        <v>614</v>
      </c>
      <c r="F40" s="321"/>
      <c r="G40" s="321"/>
      <c r="H40" s="319" t="s">
        <v>618</v>
      </c>
      <c r="I40" s="320">
        <v>1</v>
      </c>
      <c r="J40" s="321">
        <v>45458</v>
      </c>
      <c r="K40" s="321"/>
      <c r="L40" s="322" t="s">
        <v>226</v>
      </c>
      <c r="M40" s="323" t="s">
        <v>227</v>
      </c>
      <c r="N40" s="323" t="s">
        <v>228</v>
      </c>
      <c r="O40" s="336"/>
      <c r="P40" s="325"/>
      <c r="Q40" s="333"/>
      <c r="R40" s="325"/>
      <c r="S40" s="325"/>
      <c r="T40" s="325"/>
      <c r="U40" s="325"/>
      <c r="V40" s="325"/>
      <c r="W40" s="325"/>
      <c r="X40" s="325" t="s">
        <v>51</v>
      </c>
      <c r="Y40" s="325" t="s">
        <v>51</v>
      </c>
      <c r="Z40" s="325"/>
      <c r="AA40" s="16"/>
      <c r="AB40" s="23"/>
      <c r="AC40" s="23"/>
      <c r="AD40" s="254"/>
      <c r="AE40" s="255"/>
      <c r="AF40" s="257"/>
      <c r="AG40" s="26"/>
      <c r="AH40" s="26"/>
      <c r="AI40" s="20" t="s">
        <v>73</v>
      </c>
      <c r="AJ40" s="20"/>
      <c r="AK40" s="36"/>
      <c r="AL40" s="271"/>
      <c r="AM40" s="246"/>
      <c r="AN40" s="16"/>
      <c r="AO40" s="16">
        <v>400</v>
      </c>
      <c r="AP40" s="194"/>
      <c r="AQ40" s="176"/>
      <c r="AR40" s="246" t="s">
        <v>99</v>
      </c>
      <c r="AS40" s="194" t="s">
        <v>672</v>
      </c>
      <c r="AT40" s="246" t="s">
        <v>673</v>
      </c>
      <c r="AU40" s="13">
        <v>1228.68</v>
      </c>
    </row>
    <row r="41" spans="1:47" ht="19.5" customHeight="1" x14ac:dyDescent="0.35">
      <c r="A41" s="328">
        <v>1371</v>
      </c>
      <c r="B41" s="319"/>
      <c r="C41" s="326"/>
      <c r="D41" s="361"/>
      <c r="E41" s="317" t="s">
        <v>614</v>
      </c>
      <c r="F41" s="363"/>
      <c r="G41" s="363"/>
      <c r="H41" s="319" t="s">
        <v>616</v>
      </c>
      <c r="I41" s="320">
        <v>1</v>
      </c>
      <c r="J41" s="321">
        <v>45467</v>
      </c>
      <c r="K41" s="321"/>
      <c r="L41" s="331" t="s">
        <v>231</v>
      </c>
      <c r="M41" s="323" t="s">
        <v>232</v>
      </c>
      <c r="N41" s="323" t="s">
        <v>233</v>
      </c>
      <c r="O41" s="319" t="s">
        <v>235</v>
      </c>
      <c r="P41" s="340" t="s">
        <v>236</v>
      </c>
      <c r="Q41" s="333" t="s">
        <v>237</v>
      </c>
      <c r="R41" s="340" t="s">
        <v>51</v>
      </c>
      <c r="S41" s="341"/>
      <c r="T41" s="341"/>
      <c r="U41" s="341"/>
      <c r="V41" s="341" t="s">
        <v>51</v>
      </c>
      <c r="W41" s="341"/>
      <c r="X41" s="341"/>
      <c r="Y41" s="341"/>
      <c r="Z41" s="341"/>
      <c r="AA41" s="182"/>
      <c r="AB41" s="200"/>
      <c r="AC41" s="23"/>
      <c r="AD41" s="254"/>
      <c r="AE41" s="255"/>
      <c r="AF41" s="258"/>
      <c r="AG41" s="194"/>
      <c r="AH41" s="194"/>
      <c r="AI41" s="257"/>
      <c r="AJ41" s="257"/>
      <c r="AK41" s="257"/>
      <c r="AL41" s="185"/>
      <c r="AM41" s="246"/>
      <c r="AN41" s="16"/>
      <c r="AO41" s="16">
        <v>400</v>
      </c>
      <c r="AP41" s="246"/>
      <c r="AQ41" s="176"/>
      <c r="AR41" s="246" t="s">
        <v>73</v>
      </c>
      <c r="AS41" s="246" t="s">
        <v>674</v>
      </c>
      <c r="AT41" s="246"/>
      <c r="AU41" s="10"/>
    </row>
    <row r="42" spans="1:47" ht="19.5" customHeight="1" x14ac:dyDescent="0.35">
      <c r="A42" s="328">
        <v>1378</v>
      </c>
      <c r="B42" s="319"/>
      <c r="C42" s="326"/>
      <c r="D42" s="366"/>
      <c r="E42" s="317" t="s">
        <v>614</v>
      </c>
      <c r="F42" s="321"/>
      <c r="G42" s="344">
        <v>45223</v>
      </c>
      <c r="H42" s="319" t="s">
        <v>657</v>
      </c>
      <c r="I42" s="320">
        <v>1</v>
      </c>
      <c r="J42" s="321">
        <v>45469</v>
      </c>
      <c r="K42" s="321"/>
      <c r="L42" s="322" t="s">
        <v>240</v>
      </c>
      <c r="M42" s="323" t="s">
        <v>241</v>
      </c>
      <c r="N42" s="323" t="s">
        <v>242</v>
      </c>
      <c r="O42" s="340" t="s">
        <v>245</v>
      </c>
      <c r="P42" s="340" t="s">
        <v>246</v>
      </c>
      <c r="Q42" s="333"/>
      <c r="R42" s="325"/>
      <c r="S42" s="325"/>
      <c r="T42" s="325"/>
      <c r="U42" s="325"/>
      <c r="V42" s="325"/>
      <c r="W42" s="325"/>
      <c r="X42" s="325"/>
      <c r="Y42" s="325"/>
      <c r="Z42" s="325"/>
      <c r="AA42" s="16"/>
      <c r="AB42" s="23"/>
      <c r="AC42" s="23"/>
      <c r="AD42" s="254"/>
      <c r="AE42" s="255"/>
      <c r="AF42" s="257"/>
      <c r="AG42" s="26"/>
      <c r="AH42" s="26"/>
      <c r="AI42" s="20" t="s">
        <v>73</v>
      </c>
      <c r="AJ42" s="310">
        <v>500</v>
      </c>
      <c r="AK42" s="26" t="s">
        <v>675</v>
      </c>
      <c r="AL42" s="271"/>
      <c r="AM42" s="246"/>
      <c r="AN42" s="16"/>
      <c r="AO42" s="16"/>
      <c r="AP42" s="194"/>
      <c r="AQ42" s="176"/>
      <c r="AR42" s="246"/>
      <c r="AS42" s="194"/>
      <c r="AT42" s="246"/>
      <c r="AU42" s="13"/>
    </row>
    <row r="43" spans="1:47" ht="19.5" customHeight="1" x14ac:dyDescent="0.35">
      <c r="A43" s="328">
        <v>1394</v>
      </c>
      <c r="B43" s="319"/>
      <c r="C43" s="326"/>
      <c r="D43" s="368" t="s">
        <v>644</v>
      </c>
      <c r="E43" s="317" t="s">
        <v>614</v>
      </c>
      <c r="F43" s="367"/>
      <c r="G43" s="367"/>
      <c r="H43" s="319" t="s">
        <v>616</v>
      </c>
      <c r="I43" s="320">
        <v>1</v>
      </c>
      <c r="J43" s="321">
        <v>45464</v>
      </c>
      <c r="K43" s="321"/>
      <c r="L43" s="322" t="s">
        <v>248</v>
      </c>
      <c r="M43" s="337">
        <v>308346173</v>
      </c>
      <c r="N43" s="337" t="s">
        <v>249</v>
      </c>
      <c r="O43" s="319"/>
      <c r="P43" s="319"/>
      <c r="Q43" s="333"/>
      <c r="R43" s="319"/>
      <c r="S43" s="319"/>
      <c r="T43" s="319"/>
      <c r="U43" s="319"/>
      <c r="V43" s="319"/>
      <c r="W43" s="319"/>
      <c r="X43" s="319"/>
      <c r="Y43" s="319"/>
      <c r="Z43" s="319"/>
      <c r="AA43" s="26"/>
      <c r="AB43" s="20"/>
      <c r="AC43" s="23"/>
      <c r="AD43" s="254"/>
      <c r="AE43" s="255"/>
      <c r="AF43" s="265"/>
      <c r="AG43" s="194"/>
      <c r="AH43" s="194"/>
      <c r="AI43" s="257"/>
      <c r="AJ43" s="257"/>
      <c r="AK43" s="257"/>
      <c r="AL43" s="26"/>
      <c r="AM43" s="246" t="s">
        <v>676</v>
      </c>
      <c r="AN43" s="16"/>
      <c r="AO43" s="16">
        <v>0</v>
      </c>
      <c r="AP43" s="246"/>
      <c r="AQ43" s="176"/>
      <c r="AR43" s="246"/>
      <c r="AS43" s="246"/>
      <c r="AT43" s="18"/>
      <c r="AU43" s="10"/>
    </row>
    <row r="44" spans="1:47" ht="19.5" customHeight="1" x14ac:dyDescent="0.35">
      <c r="A44" s="313">
        <v>1401</v>
      </c>
      <c r="B44" s="319"/>
      <c r="C44" s="315"/>
      <c r="D44" s="314"/>
      <c r="E44" s="317" t="s">
        <v>614</v>
      </c>
      <c r="F44" s="318"/>
      <c r="G44" s="318"/>
      <c r="H44" s="319" t="s">
        <v>60</v>
      </c>
      <c r="I44" s="320">
        <v>1</v>
      </c>
      <c r="J44" s="321">
        <v>45454</v>
      </c>
      <c r="K44" s="321"/>
      <c r="L44" s="337" t="s">
        <v>252</v>
      </c>
      <c r="M44" s="322">
        <v>304328391</v>
      </c>
      <c r="N44" s="322" t="s">
        <v>253</v>
      </c>
      <c r="O44" s="324"/>
      <c r="P44" s="369"/>
      <c r="Q44" s="333"/>
      <c r="R44" s="326"/>
      <c r="S44" s="326"/>
      <c r="T44" s="326"/>
      <c r="U44" s="326"/>
      <c r="V44" s="326"/>
      <c r="W44" s="326"/>
      <c r="X44" s="326"/>
      <c r="Y44" s="326"/>
      <c r="Z44" s="326"/>
      <c r="AA44" s="27"/>
      <c r="AB44" s="20"/>
      <c r="AC44" s="20"/>
      <c r="AD44" s="252"/>
      <c r="AE44" s="176"/>
      <c r="AF44" s="253"/>
      <c r="AG44" s="26"/>
      <c r="AH44" s="26"/>
      <c r="AI44" s="26" t="s">
        <v>73</v>
      </c>
      <c r="AJ44" s="310">
        <v>500</v>
      </c>
      <c r="AK44" s="26" t="s">
        <v>677</v>
      </c>
      <c r="AL44" s="247"/>
      <c r="AM44" s="246" t="s">
        <v>678</v>
      </c>
      <c r="AN44" s="16"/>
      <c r="AO44" s="16">
        <v>500</v>
      </c>
      <c r="AP44" s="246" t="s">
        <v>591</v>
      </c>
      <c r="AQ44" s="176"/>
      <c r="AR44" s="246" t="s">
        <v>99</v>
      </c>
      <c r="AS44" s="246"/>
      <c r="AT44" s="26" t="s">
        <v>679</v>
      </c>
      <c r="AU44" s="54">
        <v>7445.29</v>
      </c>
    </row>
    <row r="45" spans="1:47" ht="19.5" customHeight="1" x14ac:dyDescent="0.35">
      <c r="A45" s="240">
        <v>1404</v>
      </c>
      <c r="B45" s="37"/>
      <c r="C45" s="241"/>
      <c r="D45" s="251"/>
      <c r="E45" s="242" t="s">
        <v>614</v>
      </c>
      <c r="F45" s="243"/>
      <c r="G45" s="243"/>
      <c r="H45" s="37" t="s">
        <v>49</v>
      </c>
      <c r="I45" s="244">
        <v>0</v>
      </c>
      <c r="J45" s="245" t="s">
        <v>647</v>
      </c>
      <c r="K45" s="245"/>
      <c r="L45" s="277" t="s">
        <v>255</v>
      </c>
      <c r="M45" s="306" t="s">
        <v>256</v>
      </c>
      <c r="N45" s="306" t="s">
        <v>257</v>
      </c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285" t="s">
        <v>51</v>
      </c>
      <c r="AB45" s="197"/>
      <c r="AC45" s="24"/>
      <c r="AD45" s="254"/>
      <c r="AE45" s="255"/>
      <c r="AF45" s="33"/>
      <c r="AG45" s="176"/>
      <c r="AH45" s="176"/>
      <c r="AI45" s="27" t="s">
        <v>73</v>
      </c>
      <c r="AJ45" s="24"/>
      <c r="AK45" s="24"/>
      <c r="AL45" s="247"/>
      <c r="AM45" s="18"/>
      <c r="AN45" s="16"/>
      <c r="AO45" s="16"/>
      <c r="AP45" s="246"/>
      <c r="AQ45" s="176"/>
      <c r="AR45" s="246"/>
      <c r="AS45" s="246"/>
      <c r="AT45" s="246"/>
      <c r="AU45" s="10"/>
    </row>
    <row r="46" spans="1:47" ht="19.5" customHeight="1" x14ac:dyDescent="0.35">
      <c r="A46" s="313">
        <v>1404</v>
      </c>
      <c r="B46" s="319"/>
      <c r="C46" s="315"/>
      <c r="D46" s="370" t="s">
        <v>639</v>
      </c>
      <c r="E46" s="317" t="s">
        <v>614</v>
      </c>
      <c r="F46" s="318"/>
      <c r="G46" s="318"/>
      <c r="H46" s="319" t="s">
        <v>49</v>
      </c>
      <c r="I46" s="320">
        <v>1</v>
      </c>
      <c r="J46" s="321">
        <v>45458</v>
      </c>
      <c r="K46" s="321"/>
      <c r="L46" s="337" t="s">
        <v>259</v>
      </c>
      <c r="M46" s="323" t="s">
        <v>260</v>
      </c>
      <c r="N46" s="323" t="s">
        <v>261</v>
      </c>
      <c r="O46" s="324"/>
      <c r="P46" s="341"/>
      <c r="Q46" s="333"/>
      <c r="R46" s="326"/>
      <c r="S46" s="326"/>
      <c r="T46" s="326"/>
      <c r="U46" s="326"/>
      <c r="V46" s="326"/>
      <c r="W46" s="326"/>
      <c r="X46" s="326"/>
      <c r="Y46" s="326"/>
      <c r="Z46" s="326"/>
      <c r="AA46" s="27"/>
      <c r="AB46" s="20"/>
      <c r="AC46" s="20"/>
      <c r="AD46" s="252"/>
      <c r="AE46" s="176"/>
      <c r="AF46" s="253"/>
      <c r="AG46" s="26"/>
      <c r="AH46" s="26"/>
      <c r="AI46" s="26" t="s">
        <v>73</v>
      </c>
      <c r="AJ46" s="26"/>
      <c r="AK46" s="26"/>
      <c r="AL46" s="247"/>
      <c r="AM46" s="246"/>
      <c r="AN46" s="16"/>
      <c r="AO46" s="16"/>
      <c r="AP46" s="246"/>
      <c r="AQ46" s="176"/>
      <c r="AR46" s="246"/>
      <c r="AS46" s="246"/>
      <c r="AT46" s="26"/>
      <c r="AU46" s="54"/>
    </row>
    <row r="47" spans="1:47" ht="19.5" customHeight="1" x14ac:dyDescent="0.35">
      <c r="A47" s="2">
        <v>1409</v>
      </c>
      <c r="B47" s="16"/>
      <c r="C47" s="19"/>
      <c r="D47" s="235" t="s">
        <v>663</v>
      </c>
      <c r="E47" s="222" t="s">
        <v>648</v>
      </c>
      <c r="F47" s="190">
        <v>45446</v>
      </c>
      <c r="G47" s="190"/>
      <c r="H47" s="16"/>
      <c r="I47" s="43">
        <v>0</v>
      </c>
      <c r="J47" s="237"/>
      <c r="K47" s="237" t="s">
        <v>61</v>
      </c>
      <c r="L47" s="41" t="s">
        <v>680</v>
      </c>
      <c r="M47" s="301" t="s">
        <v>681</v>
      </c>
      <c r="N47" s="42" t="s">
        <v>682</v>
      </c>
      <c r="O47" s="1"/>
      <c r="P47" s="1"/>
      <c r="Q47" s="304"/>
      <c r="R47" s="1"/>
      <c r="S47" s="1"/>
      <c r="T47" s="1"/>
      <c r="U47" s="1"/>
      <c r="V47" s="1"/>
      <c r="W47" s="1"/>
      <c r="X47" s="1" t="s">
        <v>51</v>
      </c>
      <c r="Y47" s="1"/>
      <c r="Z47" s="1"/>
      <c r="AA47" s="26"/>
      <c r="AB47" s="20"/>
      <c r="AC47" s="20"/>
      <c r="AD47" s="272"/>
      <c r="AE47" s="23"/>
      <c r="AF47" s="194"/>
      <c r="AG47" s="194"/>
      <c r="AH47" s="194"/>
      <c r="AI47" s="18"/>
      <c r="AJ47" s="18"/>
      <c r="AK47" s="194"/>
      <c r="AL47" s="270" t="s">
        <v>683</v>
      </c>
      <c r="AM47" s="194"/>
      <c r="AN47" s="16"/>
      <c r="AO47" s="16"/>
      <c r="AP47" s="194"/>
      <c r="AQ47" s="176"/>
      <c r="AR47" s="194"/>
      <c r="AS47" s="194"/>
      <c r="AT47" s="194"/>
      <c r="AU47" s="54"/>
    </row>
    <row r="48" spans="1:47" ht="19.5" customHeight="1" x14ac:dyDescent="0.35">
      <c r="A48" s="2">
        <v>1414</v>
      </c>
      <c r="B48" s="16"/>
      <c r="C48" s="19"/>
      <c r="D48" s="235" t="s">
        <v>663</v>
      </c>
      <c r="E48" s="222" t="s">
        <v>648</v>
      </c>
      <c r="F48" s="190">
        <v>45446</v>
      </c>
      <c r="G48" s="190"/>
      <c r="H48" s="16"/>
      <c r="I48" s="43">
        <v>0</v>
      </c>
      <c r="J48" s="35"/>
      <c r="K48" s="35" t="s">
        <v>61</v>
      </c>
      <c r="L48" s="41" t="s">
        <v>684</v>
      </c>
      <c r="M48" s="301">
        <v>307901750</v>
      </c>
      <c r="N48" s="301" t="s">
        <v>534</v>
      </c>
      <c r="O48" s="24"/>
      <c r="P48" s="24"/>
      <c r="Q48" s="304"/>
      <c r="R48" s="24"/>
      <c r="S48" s="24"/>
      <c r="T48" s="24"/>
      <c r="U48" s="24"/>
      <c r="V48" s="24"/>
      <c r="W48" s="24"/>
      <c r="X48" s="24" t="s">
        <v>51</v>
      </c>
      <c r="Y48" s="24"/>
      <c r="Z48" s="24"/>
      <c r="AA48" s="26"/>
      <c r="AB48" s="20"/>
      <c r="AC48" s="23">
        <v>45105</v>
      </c>
      <c r="AD48" s="254" t="s">
        <v>685</v>
      </c>
      <c r="AE48" s="255"/>
      <c r="AF48" s="257">
        <v>0</v>
      </c>
      <c r="AG48" s="194"/>
      <c r="AH48" s="194"/>
      <c r="AI48" s="257"/>
      <c r="AJ48" s="257"/>
      <c r="AK48" s="257"/>
      <c r="AL48" s="247" t="s">
        <v>686</v>
      </c>
      <c r="AM48" s="246" t="s">
        <v>687</v>
      </c>
      <c r="AN48" s="16"/>
      <c r="AO48" s="16">
        <v>400</v>
      </c>
      <c r="AP48" s="194"/>
      <c r="AQ48" s="176"/>
      <c r="AR48" s="194"/>
      <c r="AS48" s="194"/>
      <c r="AT48" s="26"/>
      <c r="AU48" s="10"/>
    </row>
    <row r="49" spans="1:41" ht="19.5" customHeight="1" x14ac:dyDescent="0.35">
      <c r="A49" s="313">
        <v>1415</v>
      </c>
      <c r="B49" s="319"/>
      <c r="C49" s="315"/>
      <c r="D49" s="370"/>
      <c r="E49" s="317" t="s">
        <v>614</v>
      </c>
      <c r="F49" s="318"/>
      <c r="G49" s="318"/>
      <c r="H49" s="319" t="s">
        <v>49</v>
      </c>
      <c r="I49" s="320">
        <v>1</v>
      </c>
      <c r="J49" s="321">
        <v>45459</v>
      </c>
      <c r="K49" s="321"/>
      <c r="L49" s="337" t="s">
        <v>268</v>
      </c>
      <c r="M49" s="323">
        <v>310947561</v>
      </c>
      <c r="N49" s="323" t="s">
        <v>269</v>
      </c>
      <c r="O49" s="324"/>
      <c r="P49" s="341"/>
      <c r="Q49" s="333"/>
      <c r="R49" s="326"/>
      <c r="S49" s="326"/>
      <c r="T49" s="326"/>
      <c r="U49" s="326"/>
      <c r="V49" s="326"/>
      <c r="W49" s="326"/>
      <c r="X49" s="326"/>
      <c r="Y49" s="326"/>
      <c r="Z49" s="326"/>
      <c r="AA49" s="27"/>
      <c r="AB49" s="20"/>
      <c r="AC49" s="20"/>
      <c r="AD49" s="252"/>
      <c r="AE49" s="176"/>
      <c r="AF49" s="253"/>
      <c r="AG49" s="26"/>
      <c r="AH49" s="26"/>
      <c r="AI49" s="26" t="s">
        <v>73</v>
      </c>
      <c r="AJ49" s="310">
        <v>500</v>
      </c>
      <c r="AK49" s="26" t="s">
        <v>688</v>
      </c>
      <c r="AL49" s="247"/>
      <c r="AM49" s="246"/>
      <c r="AN49" s="16"/>
      <c r="AO49" s="16">
        <v>500</v>
      </c>
    </row>
    <row r="50" spans="1:41" ht="19.5" customHeight="1" x14ac:dyDescent="0.35">
      <c r="A50" s="313">
        <v>1423</v>
      </c>
      <c r="B50" s="360"/>
      <c r="C50" s="338"/>
      <c r="D50" s="339"/>
      <c r="E50" s="317" t="s">
        <v>614</v>
      </c>
      <c r="F50" s="317"/>
      <c r="G50" s="317"/>
      <c r="H50" s="329" t="s">
        <v>49</v>
      </c>
      <c r="I50" s="320">
        <v>1</v>
      </c>
      <c r="J50" s="321">
        <v>45433</v>
      </c>
      <c r="K50" s="321"/>
      <c r="L50" s="337" t="s">
        <v>271</v>
      </c>
      <c r="M50" s="337" t="s">
        <v>272</v>
      </c>
      <c r="N50" s="337" t="s">
        <v>273</v>
      </c>
      <c r="O50" s="326"/>
      <c r="P50" s="326"/>
      <c r="Q50" s="333"/>
      <c r="R50" s="326"/>
      <c r="S50" s="326"/>
      <c r="T50" s="326"/>
      <c r="U50" s="326"/>
      <c r="V50" s="326"/>
      <c r="W50" s="326"/>
      <c r="X50" s="326"/>
      <c r="Y50" s="326"/>
      <c r="Z50" s="326"/>
      <c r="AA50" s="27"/>
      <c r="AB50" s="20"/>
      <c r="AC50" s="20"/>
      <c r="AD50" s="252"/>
      <c r="AE50" s="176"/>
      <c r="AF50" s="253"/>
      <c r="AG50" s="26"/>
      <c r="AH50" s="26"/>
      <c r="AI50" s="26" t="s">
        <v>73</v>
      </c>
      <c r="AJ50" s="310">
        <v>500</v>
      </c>
      <c r="AK50" s="26" t="s">
        <v>654</v>
      </c>
      <c r="AL50" s="247"/>
      <c r="AM50" s="246"/>
      <c r="AN50" s="16"/>
      <c r="AO50" s="16"/>
    </row>
    <row r="51" spans="1:41" ht="19.5" customHeight="1" x14ac:dyDescent="0.35">
      <c r="A51" s="313">
        <v>1424</v>
      </c>
      <c r="B51" s="319"/>
      <c r="C51" s="315"/>
      <c r="D51" s="314"/>
      <c r="E51" s="317" t="s">
        <v>614</v>
      </c>
      <c r="F51" s="318"/>
      <c r="G51" s="318"/>
      <c r="H51" s="319" t="s">
        <v>618</v>
      </c>
      <c r="I51" s="320">
        <v>1</v>
      </c>
      <c r="J51" s="321">
        <v>45463</v>
      </c>
      <c r="K51" s="321"/>
      <c r="L51" s="322" t="s">
        <v>689</v>
      </c>
      <c r="M51" s="337">
        <v>305122215</v>
      </c>
      <c r="N51" s="371"/>
      <c r="O51" s="372"/>
      <c r="P51" s="372"/>
      <c r="Q51" s="333"/>
      <c r="R51" s="372"/>
      <c r="S51" s="372"/>
      <c r="T51" s="372"/>
      <c r="U51" s="372"/>
      <c r="V51" s="372"/>
      <c r="W51" s="372"/>
      <c r="X51" s="372"/>
      <c r="Y51" s="372"/>
      <c r="Z51" s="372"/>
      <c r="AA51" s="16"/>
      <c r="AB51" s="23"/>
      <c r="AC51" s="23"/>
      <c r="AD51" s="32"/>
      <c r="AE51" s="39"/>
      <c r="AF51" s="33"/>
      <c r="AG51" s="26"/>
      <c r="AH51" s="26"/>
      <c r="AI51" s="36"/>
      <c r="AJ51" s="36"/>
      <c r="AK51" s="26"/>
      <c r="AL51" s="247"/>
      <c r="AM51" s="246"/>
      <c r="AN51" s="16"/>
      <c r="AO51" s="16"/>
    </row>
    <row r="52" spans="1:41" ht="19.5" customHeight="1" x14ac:dyDescent="0.35">
      <c r="A52" s="328">
        <v>1441</v>
      </c>
      <c r="B52" s="319"/>
      <c r="C52" s="326"/>
      <c r="D52" s="373"/>
      <c r="E52" s="317" t="s">
        <v>614</v>
      </c>
      <c r="F52" s="335">
        <v>45446</v>
      </c>
      <c r="G52" s="335"/>
      <c r="H52" s="319" t="s">
        <v>49</v>
      </c>
      <c r="I52" s="320">
        <v>1</v>
      </c>
      <c r="J52" s="321">
        <v>45470</v>
      </c>
      <c r="K52" s="321"/>
      <c r="L52" s="337" t="s">
        <v>275</v>
      </c>
      <c r="M52" s="327">
        <v>310080983</v>
      </c>
      <c r="N52" s="327" t="s">
        <v>690</v>
      </c>
      <c r="O52" s="325" t="s">
        <v>279</v>
      </c>
      <c r="P52" s="325">
        <v>314090070</v>
      </c>
      <c r="Q52" s="333" t="s">
        <v>112</v>
      </c>
      <c r="R52" s="325"/>
      <c r="S52" s="325"/>
      <c r="T52" s="325"/>
      <c r="U52" s="325"/>
      <c r="V52" s="325"/>
      <c r="W52" s="325"/>
      <c r="X52" s="325"/>
      <c r="Y52" s="325"/>
      <c r="Z52" s="325"/>
      <c r="AA52" s="16"/>
      <c r="AB52" s="23"/>
      <c r="AC52" s="23"/>
      <c r="AD52" s="273"/>
      <c r="AE52" s="23"/>
      <c r="AF52" s="33"/>
      <c r="AG52" s="194"/>
      <c r="AH52" s="194"/>
      <c r="AI52" s="257"/>
      <c r="AJ52" s="257"/>
      <c r="AK52" s="257"/>
      <c r="AL52" s="246"/>
      <c r="AM52" s="246"/>
      <c r="AN52" s="16"/>
      <c r="AO52" s="16"/>
    </row>
    <row r="53" spans="1:41" ht="19.5" customHeight="1" x14ac:dyDescent="0.35">
      <c r="A53" s="240">
        <v>1443</v>
      </c>
      <c r="B53" s="37"/>
      <c r="C53" s="241"/>
      <c r="D53" s="251"/>
      <c r="E53" s="242" t="s">
        <v>614</v>
      </c>
      <c r="F53" s="243">
        <v>45447</v>
      </c>
      <c r="G53" s="243" t="s">
        <v>182</v>
      </c>
      <c r="H53" s="37" t="s">
        <v>646</v>
      </c>
      <c r="I53" s="244">
        <v>0</v>
      </c>
      <c r="J53" s="245" t="s">
        <v>691</v>
      </c>
      <c r="K53" s="245"/>
      <c r="L53" s="277" t="s">
        <v>692</v>
      </c>
      <c r="M53" s="306" t="s">
        <v>693</v>
      </c>
      <c r="N53" s="306" t="s">
        <v>694</v>
      </c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285"/>
      <c r="AB53" s="197"/>
      <c r="AC53" s="24"/>
      <c r="AD53" s="254"/>
      <c r="AE53" s="255"/>
      <c r="AF53" s="33"/>
      <c r="AG53" s="176"/>
      <c r="AH53" s="176"/>
      <c r="AI53" s="24"/>
      <c r="AJ53" s="24"/>
      <c r="AK53" s="24"/>
      <c r="AL53" s="247"/>
      <c r="AM53" s="18"/>
      <c r="AN53" s="16"/>
      <c r="AO53" s="16"/>
    </row>
    <row r="54" spans="1:41" ht="19.5" customHeight="1" x14ac:dyDescent="0.35">
      <c r="A54" s="313">
        <v>1447</v>
      </c>
      <c r="B54" s="360"/>
      <c r="C54" s="338"/>
      <c r="D54" s="339" t="s">
        <v>73</v>
      </c>
      <c r="E54" s="317" t="s">
        <v>614</v>
      </c>
      <c r="F54" s="317"/>
      <c r="G54" s="332" t="s">
        <v>182</v>
      </c>
      <c r="H54" s="329" t="s">
        <v>616</v>
      </c>
      <c r="I54" s="320">
        <v>1</v>
      </c>
      <c r="J54" s="321">
        <v>45454</v>
      </c>
      <c r="K54" s="321"/>
      <c r="L54" s="337" t="s">
        <v>281</v>
      </c>
      <c r="M54" s="337">
        <v>312593872</v>
      </c>
      <c r="N54" s="337" t="s">
        <v>284</v>
      </c>
      <c r="O54" s="319"/>
      <c r="P54" s="319"/>
      <c r="Q54" s="333"/>
      <c r="R54" s="326"/>
      <c r="S54" s="326"/>
      <c r="T54" s="326"/>
      <c r="U54" s="326"/>
      <c r="V54" s="326"/>
      <c r="W54" s="326"/>
      <c r="X54" s="326"/>
      <c r="Y54" s="326"/>
      <c r="Z54" s="326"/>
      <c r="AA54" s="27"/>
      <c r="AB54" s="20"/>
      <c r="AC54" s="20"/>
      <c r="AD54" s="252"/>
      <c r="AE54" s="176"/>
      <c r="AF54" s="253"/>
      <c r="AG54" s="26"/>
      <c r="AH54" s="26"/>
      <c r="AI54" s="26" t="s">
        <v>73</v>
      </c>
      <c r="AJ54" s="26"/>
      <c r="AK54" s="26" t="s">
        <v>73</v>
      </c>
      <c r="AL54" s="247"/>
      <c r="AM54" s="246"/>
      <c r="AN54" s="16"/>
      <c r="AO54" s="16"/>
    </row>
    <row r="55" spans="1:41" ht="19.5" customHeight="1" x14ac:dyDescent="0.35">
      <c r="A55" s="377">
        <v>1449</v>
      </c>
      <c r="B55" s="378"/>
      <c r="C55" s="379"/>
      <c r="D55" s="380" t="s">
        <v>73</v>
      </c>
      <c r="E55" s="317" t="s">
        <v>614</v>
      </c>
      <c r="F55" s="318"/>
      <c r="G55" s="318"/>
      <c r="H55" s="381" t="s">
        <v>618</v>
      </c>
      <c r="I55" s="382">
        <v>1</v>
      </c>
      <c r="J55" s="335"/>
      <c r="K55" s="335"/>
      <c r="L55" s="322" t="s">
        <v>695</v>
      </c>
      <c r="M55" s="322">
        <v>314217126</v>
      </c>
      <c r="N55" s="322" t="s">
        <v>696</v>
      </c>
      <c r="O55" s="336"/>
      <c r="P55" s="336"/>
      <c r="Q55" s="333"/>
      <c r="R55" s="383"/>
      <c r="S55" s="383"/>
      <c r="T55" s="383"/>
      <c r="U55" s="383"/>
      <c r="V55" s="383"/>
      <c r="W55" s="383"/>
      <c r="X55" s="383"/>
      <c r="Y55" s="326"/>
      <c r="Z55" s="326"/>
      <c r="AA55" s="27"/>
      <c r="AB55" s="20"/>
      <c r="AC55" s="20"/>
      <c r="AD55" s="252"/>
      <c r="AE55" s="176"/>
      <c r="AF55" s="253"/>
      <c r="AG55" s="26"/>
      <c r="AH55" s="26"/>
      <c r="AI55" s="26" t="s">
        <v>73</v>
      </c>
      <c r="AJ55" s="310">
        <v>500</v>
      </c>
      <c r="AK55" s="26" t="s">
        <v>636</v>
      </c>
      <c r="AL55" s="247"/>
      <c r="AM55" s="246"/>
      <c r="AN55" s="16"/>
      <c r="AO55" s="16"/>
    </row>
    <row r="56" spans="1:41" ht="19.5" customHeight="1" x14ac:dyDescent="0.35">
      <c r="A56" s="313">
        <v>1463</v>
      </c>
      <c r="B56" s="360"/>
      <c r="C56" s="338"/>
      <c r="D56" s="339"/>
      <c r="E56" s="317" t="s">
        <v>614</v>
      </c>
      <c r="F56" s="317"/>
      <c r="G56" s="317"/>
      <c r="H56" s="329" t="s">
        <v>49</v>
      </c>
      <c r="I56" s="320">
        <v>1</v>
      </c>
      <c r="J56" s="374">
        <v>45404</v>
      </c>
      <c r="K56" s="374"/>
      <c r="L56" s="337" t="s">
        <v>286</v>
      </c>
      <c r="M56" s="337" t="s">
        <v>287</v>
      </c>
      <c r="N56" s="337" t="s">
        <v>288</v>
      </c>
      <c r="O56" s="319"/>
      <c r="P56" s="319"/>
      <c r="Q56" s="333"/>
      <c r="R56" s="326"/>
      <c r="S56" s="326"/>
      <c r="T56" s="326"/>
      <c r="U56" s="326"/>
      <c r="V56" s="326"/>
      <c r="W56" s="326"/>
      <c r="X56" s="326"/>
      <c r="Y56" s="326"/>
      <c r="Z56" s="326"/>
      <c r="AA56" s="27"/>
      <c r="AB56" s="20"/>
      <c r="AC56" s="295" t="s">
        <v>697</v>
      </c>
      <c r="AD56" s="252"/>
      <c r="AE56" s="176"/>
      <c r="AF56" s="253"/>
      <c r="AG56" s="26"/>
      <c r="AH56" s="26"/>
      <c r="AI56" s="26" t="s">
        <v>73</v>
      </c>
      <c r="AJ56" s="310">
        <v>350</v>
      </c>
      <c r="AK56" s="26" t="s">
        <v>698</v>
      </c>
      <c r="AL56" s="247"/>
      <c r="AM56" s="246"/>
      <c r="AN56" s="16"/>
      <c r="AO56" s="16"/>
    </row>
    <row r="57" spans="1:41" ht="19.5" customHeight="1" x14ac:dyDescent="0.35">
      <c r="A57" s="328">
        <v>1466</v>
      </c>
      <c r="B57" s="319"/>
      <c r="C57" s="315"/>
      <c r="D57" s="373" t="s">
        <v>699</v>
      </c>
      <c r="E57" s="317" t="s">
        <v>614</v>
      </c>
      <c r="F57" s="335">
        <v>45446</v>
      </c>
      <c r="G57" s="335" t="s">
        <v>182</v>
      </c>
      <c r="H57" s="319" t="s">
        <v>657</v>
      </c>
      <c r="I57" s="320">
        <v>1</v>
      </c>
      <c r="J57" s="374">
        <v>45466</v>
      </c>
      <c r="K57" s="375"/>
      <c r="L57" s="322" t="s">
        <v>291</v>
      </c>
      <c r="M57" s="337">
        <v>309997917</v>
      </c>
      <c r="N57" s="376" t="s">
        <v>112</v>
      </c>
      <c r="O57" s="372"/>
      <c r="P57" s="372"/>
      <c r="Q57" s="333"/>
      <c r="R57" s="372"/>
      <c r="S57" s="372"/>
      <c r="T57" s="372"/>
      <c r="U57" s="372"/>
      <c r="V57" s="372"/>
      <c r="W57" s="372"/>
      <c r="X57" s="372"/>
      <c r="Y57" s="372"/>
      <c r="Z57" s="326"/>
      <c r="AA57" s="16"/>
      <c r="AB57" s="23"/>
      <c r="AC57" s="23"/>
      <c r="AD57" s="254"/>
      <c r="AE57" s="255"/>
      <c r="AF57" s="33"/>
      <c r="AG57" s="26"/>
      <c r="AH57" s="26"/>
      <c r="AI57" s="36"/>
      <c r="AJ57" s="36"/>
      <c r="AK57" s="26"/>
      <c r="AL57" s="274" t="s">
        <v>700</v>
      </c>
      <c r="AM57" s="246" t="s">
        <v>678</v>
      </c>
      <c r="AN57" s="16">
        <v>200</v>
      </c>
      <c r="AO57" s="16"/>
    </row>
    <row r="58" spans="1:41" ht="19.5" customHeight="1" x14ac:dyDescent="0.35">
      <c r="A58" s="240">
        <v>1468</v>
      </c>
      <c r="B58" s="37"/>
      <c r="C58" s="241"/>
      <c r="D58" s="251"/>
      <c r="E58" s="242" t="s">
        <v>614</v>
      </c>
      <c r="F58" s="243">
        <v>45446</v>
      </c>
      <c r="G58" s="243"/>
      <c r="H58" s="37" t="s">
        <v>49</v>
      </c>
      <c r="I58" s="244">
        <v>0</v>
      </c>
      <c r="J58" s="245" t="s">
        <v>701</v>
      </c>
      <c r="K58" s="245"/>
      <c r="L58" s="277" t="s">
        <v>293</v>
      </c>
      <c r="M58" s="306" t="s">
        <v>294</v>
      </c>
      <c r="N58" s="306" t="s">
        <v>112</v>
      </c>
      <c r="O58" s="37"/>
      <c r="P58" s="37"/>
      <c r="Q58" s="37"/>
      <c r="R58" s="37"/>
      <c r="S58" s="37"/>
      <c r="T58" s="37"/>
      <c r="U58" s="37"/>
      <c r="V58" s="37"/>
      <c r="W58" s="37"/>
      <c r="X58" s="37" t="s">
        <v>51</v>
      </c>
      <c r="Y58" s="37" t="s">
        <v>51</v>
      </c>
      <c r="Z58" s="37"/>
      <c r="AA58" s="285"/>
      <c r="AB58" s="197"/>
      <c r="AC58" s="24"/>
      <c r="AD58" s="254"/>
      <c r="AE58" s="255"/>
      <c r="AF58" s="33"/>
      <c r="AG58" s="176"/>
      <c r="AH58" s="176"/>
      <c r="AI58" s="27" t="s">
        <v>73</v>
      </c>
      <c r="AJ58" s="27" t="s">
        <v>299</v>
      </c>
      <c r="AK58" s="27" t="s">
        <v>702</v>
      </c>
      <c r="AL58" s="247" t="s">
        <v>703</v>
      </c>
      <c r="AM58" s="18"/>
      <c r="AN58" s="16"/>
      <c r="AO58" s="16">
        <v>400</v>
      </c>
    </row>
    <row r="59" spans="1:41" ht="19.5" customHeight="1" x14ac:dyDescent="0.35">
      <c r="A59" s="313">
        <v>1471</v>
      </c>
      <c r="B59" s="319"/>
      <c r="C59" s="315"/>
      <c r="D59" s="384"/>
      <c r="E59" s="317" t="s">
        <v>614</v>
      </c>
      <c r="F59" s="317"/>
      <c r="G59" s="317"/>
      <c r="H59" s="319" t="s">
        <v>646</v>
      </c>
      <c r="I59" s="320">
        <v>1</v>
      </c>
      <c r="J59" s="374">
        <v>45464</v>
      </c>
      <c r="K59" s="375"/>
      <c r="L59" s="322" t="s">
        <v>438</v>
      </c>
      <c r="M59" s="337" t="s">
        <v>301</v>
      </c>
      <c r="N59" s="371" t="s">
        <v>302</v>
      </c>
      <c r="O59" s="372"/>
      <c r="P59" s="372"/>
      <c r="Q59" s="333"/>
      <c r="R59" s="372" t="s">
        <v>182</v>
      </c>
      <c r="S59" s="372"/>
      <c r="T59" s="372"/>
      <c r="U59" s="372"/>
      <c r="V59" s="372" t="s">
        <v>51</v>
      </c>
      <c r="W59" s="372"/>
      <c r="X59" s="372"/>
      <c r="Y59" s="372"/>
      <c r="Z59" s="372"/>
      <c r="AA59" s="16"/>
      <c r="AB59" s="23"/>
      <c r="AC59" s="23"/>
      <c r="AD59" s="32"/>
      <c r="AE59" s="39"/>
      <c r="AF59" s="33">
        <v>7445.29</v>
      </c>
      <c r="AG59" s="26"/>
      <c r="AH59" s="26"/>
      <c r="AI59" s="26" t="s">
        <v>73</v>
      </c>
      <c r="AJ59" s="310">
        <v>500</v>
      </c>
      <c r="AK59" s="26" t="s">
        <v>636</v>
      </c>
      <c r="AL59" s="247"/>
      <c r="AM59" s="246"/>
      <c r="AN59" s="16"/>
      <c r="AO59" s="16"/>
    </row>
    <row r="60" spans="1:41" ht="19.5" customHeight="1" x14ac:dyDescent="0.35">
      <c r="A60" s="313">
        <v>1472</v>
      </c>
      <c r="B60" s="319"/>
      <c r="C60" s="315"/>
      <c r="D60" s="334" t="s">
        <v>704</v>
      </c>
      <c r="E60" s="317" t="s">
        <v>614</v>
      </c>
      <c r="F60" s="318"/>
      <c r="G60" s="318"/>
      <c r="H60" s="319" t="s">
        <v>646</v>
      </c>
      <c r="I60" s="320">
        <v>1</v>
      </c>
      <c r="J60" s="321">
        <v>45471</v>
      </c>
      <c r="K60" s="321"/>
      <c r="L60" s="41" t="s">
        <v>305</v>
      </c>
      <c r="M60" s="337" t="s">
        <v>306</v>
      </c>
      <c r="N60" s="371" t="s">
        <v>307</v>
      </c>
      <c r="O60" s="372"/>
      <c r="P60" s="372"/>
      <c r="Q60" s="333"/>
      <c r="R60" s="385"/>
      <c r="S60" s="372"/>
      <c r="T60" s="372"/>
      <c r="U60" s="372"/>
      <c r="V60" s="372"/>
      <c r="W60" s="372"/>
      <c r="X60" s="372"/>
      <c r="Y60" s="372"/>
      <c r="Z60" s="372"/>
      <c r="AA60" s="16"/>
      <c r="AB60" s="23"/>
      <c r="AC60" s="23"/>
      <c r="AD60" s="32"/>
      <c r="AE60" s="39"/>
      <c r="AF60" s="33"/>
      <c r="AG60" s="26"/>
      <c r="AH60" s="26"/>
      <c r="AI60" s="36"/>
      <c r="AJ60" s="36"/>
      <c r="AK60" s="26"/>
      <c r="AL60" s="247"/>
      <c r="AM60" s="246"/>
      <c r="AN60" s="16"/>
      <c r="AO60" s="16"/>
    </row>
    <row r="61" spans="1:41" ht="19.5" customHeight="1" x14ac:dyDescent="0.35">
      <c r="A61" s="313">
        <v>1482</v>
      </c>
      <c r="B61" s="319"/>
      <c r="C61" s="315"/>
      <c r="D61" s="314"/>
      <c r="E61" s="317" t="s">
        <v>614</v>
      </c>
      <c r="F61" s="317"/>
      <c r="G61" s="317"/>
      <c r="H61" s="319" t="s">
        <v>49</v>
      </c>
      <c r="I61" s="320">
        <v>1</v>
      </c>
      <c r="J61" s="321">
        <v>45433</v>
      </c>
      <c r="K61" s="321"/>
      <c r="L61" s="333" t="s">
        <v>310</v>
      </c>
      <c r="M61" s="327" t="s">
        <v>311</v>
      </c>
      <c r="N61" s="323" t="s">
        <v>312</v>
      </c>
      <c r="O61" s="324"/>
      <c r="P61" s="369"/>
      <c r="Q61" s="333"/>
      <c r="R61" s="326"/>
      <c r="S61" s="326"/>
      <c r="T61" s="326"/>
      <c r="U61" s="326"/>
      <c r="V61" s="326"/>
      <c r="W61" s="326"/>
      <c r="X61" s="326" t="s">
        <v>182</v>
      </c>
      <c r="Y61" s="326" t="s">
        <v>182</v>
      </c>
      <c r="Z61" s="326"/>
      <c r="AA61" s="27"/>
      <c r="AB61" s="20"/>
      <c r="AC61" s="20"/>
      <c r="AD61" s="252"/>
      <c r="AE61" s="176"/>
      <c r="AF61" s="253"/>
      <c r="AG61" s="26"/>
      <c r="AH61" s="26"/>
      <c r="AI61" s="26" t="s">
        <v>73</v>
      </c>
      <c r="AJ61" s="310">
        <v>800</v>
      </c>
      <c r="AK61" s="26" t="s">
        <v>705</v>
      </c>
      <c r="AL61" s="247"/>
      <c r="AM61" s="246"/>
      <c r="AN61" s="16"/>
      <c r="AO61" s="16"/>
    </row>
    <row r="62" spans="1:41" s="293" customFormat="1" ht="19.5" customHeight="1" x14ac:dyDescent="0.35">
      <c r="A62" s="313">
        <v>1491</v>
      </c>
      <c r="B62" s="319"/>
      <c r="C62" s="315"/>
      <c r="D62" s="373"/>
      <c r="E62" s="317" t="s">
        <v>614</v>
      </c>
      <c r="F62" s="318"/>
      <c r="G62" s="318"/>
      <c r="H62" s="319" t="s">
        <v>706</v>
      </c>
      <c r="I62" s="320">
        <v>1</v>
      </c>
      <c r="J62" s="321">
        <v>45466</v>
      </c>
      <c r="K62" s="321"/>
      <c r="L62" s="337" t="s">
        <v>316</v>
      </c>
      <c r="M62" s="323" t="s">
        <v>317</v>
      </c>
      <c r="N62" s="323" t="s">
        <v>318</v>
      </c>
      <c r="O62" s="324"/>
      <c r="P62" s="325"/>
      <c r="Q62" s="333"/>
      <c r="R62" s="326"/>
      <c r="S62" s="326"/>
      <c r="T62" s="326"/>
      <c r="U62" s="326"/>
      <c r="V62" s="326"/>
      <c r="W62" s="326"/>
      <c r="X62" s="326"/>
      <c r="Y62" s="326"/>
      <c r="Z62" s="326"/>
      <c r="AA62" s="288"/>
      <c r="AB62" s="30"/>
      <c r="AC62" s="30"/>
      <c r="AD62" s="289"/>
      <c r="AE62" s="290"/>
      <c r="AF62" s="34"/>
      <c r="AG62" s="291"/>
      <c r="AH62" s="291"/>
      <c r="AI62" s="21" t="s">
        <v>73</v>
      </c>
      <c r="AJ62" s="309">
        <v>500</v>
      </c>
      <c r="AK62" s="21" t="s">
        <v>707</v>
      </c>
      <c r="AL62" s="291"/>
      <c r="AM62" s="292"/>
      <c r="AN62" s="292"/>
      <c r="AO62" s="22"/>
    </row>
    <row r="63" spans="1:41" ht="19.5" customHeight="1" x14ac:dyDescent="0.35">
      <c r="A63" s="178">
        <v>1492</v>
      </c>
      <c r="B63" s="16"/>
      <c r="C63" s="31"/>
      <c r="D63" s="35" t="s">
        <v>708</v>
      </c>
      <c r="E63" s="195" t="s">
        <v>709</v>
      </c>
      <c r="F63" s="209" t="s">
        <v>645</v>
      </c>
      <c r="G63" s="209"/>
      <c r="H63" s="16"/>
      <c r="I63" s="43">
        <v>0</v>
      </c>
      <c r="J63" s="23"/>
      <c r="K63" s="23" t="s">
        <v>61</v>
      </c>
      <c r="L63" s="206" t="s">
        <v>710</v>
      </c>
      <c r="M63" s="300" t="s">
        <v>711</v>
      </c>
      <c r="N63" s="300" t="s">
        <v>712</v>
      </c>
      <c r="O63" s="18"/>
      <c r="P63" s="179"/>
      <c r="Q63" s="304"/>
      <c r="R63" s="19"/>
      <c r="S63" s="19"/>
      <c r="T63" s="19"/>
      <c r="U63" s="19"/>
      <c r="V63" s="19"/>
      <c r="W63" s="19"/>
      <c r="X63" s="19"/>
      <c r="Y63" s="19"/>
      <c r="Z63" s="19"/>
      <c r="AA63" s="27"/>
      <c r="AB63" s="20"/>
      <c r="AC63" s="20"/>
      <c r="AD63" s="252"/>
      <c r="AE63" s="176"/>
      <c r="AF63" s="253"/>
      <c r="AG63" s="177"/>
      <c r="AH63" s="177"/>
      <c r="AI63" s="19"/>
      <c r="AJ63" s="19"/>
      <c r="AK63" s="19"/>
      <c r="AL63" s="177"/>
      <c r="AM63" s="246"/>
      <c r="AN63" s="246"/>
      <c r="AO63" s="16"/>
    </row>
    <row r="64" spans="1:41" ht="19.5" customHeight="1" x14ac:dyDescent="0.35">
      <c r="A64" s="313">
        <v>1493</v>
      </c>
      <c r="B64" s="319"/>
      <c r="C64" s="315"/>
      <c r="D64" s="314"/>
      <c r="E64" s="317" t="s">
        <v>614</v>
      </c>
      <c r="F64" s="317"/>
      <c r="G64" s="332" t="s">
        <v>182</v>
      </c>
      <c r="H64" s="329" t="s">
        <v>646</v>
      </c>
      <c r="I64" s="320">
        <v>1</v>
      </c>
      <c r="J64" s="321">
        <v>45428</v>
      </c>
      <c r="K64" s="321"/>
      <c r="L64" s="322" t="s">
        <v>326</v>
      </c>
      <c r="M64" s="337" t="s">
        <v>327</v>
      </c>
      <c r="N64" s="337" t="s">
        <v>328</v>
      </c>
      <c r="O64" s="372"/>
      <c r="P64" s="372"/>
      <c r="Q64" s="333"/>
      <c r="R64" s="372"/>
      <c r="S64" s="372"/>
      <c r="T64" s="372"/>
      <c r="U64" s="372"/>
      <c r="V64" s="372"/>
      <c r="W64" s="372"/>
      <c r="X64" s="372"/>
      <c r="Y64" s="372"/>
      <c r="Z64" s="372"/>
      <c r="AA64" s="16"/>
      <c r="AB64" s="23"/>
      <c r="AC64" s="295" t="s">
        <v>713</v>
      </c>
      <c r="AD64" s="32"/>
      <c r="AE64" s="39"/>
      <c r="AF64" s="33"/>
      <c r="AG64" s="177"/>
      <c r="AH64" s="177"/>
      <c r="AI64" s="19" t="s">
        <v>73</v>
      </c>
      <c r="AJ64" s="310">
        <v>500</v>
      </c>
      <c r="AK64" s="19" t="s">
        <v>714</v>
      </c>
      <c r="AL64" s="177"/>
      <c r="AM64" s="246"/>
      <c r="AN64" s="246"/>
      <c r="AO64" s="16">
        <v>500</v>
      </c>
    </row>
    <row r="65" spans="1:41" ht="19.5" customHeight="1" x14ac:dyDescent="0.35">
      <c r="A65" s="313">
        <v>1494</v>
      </c>
      <c r="B65" s="319"/>
      <c r="C65" s="315"/>
      <c r="D65" s="314" t="s">
        <v>715</v>
      </c>
      <c r="E65" s="317" t="s">
        <v>614</v>
      </c>
      <c r="F65" s="318"/>
      <c r="G65" s="335">
        <v>45007</v>
      </c>
      <c r="H65" s="319" t="s">
        <v>49</v>
      </c>
      <c r="I65" s="320">
        <v>1</v>
      </c>
      <c r="J65" s="321">
        <v>45466</v>
      </c>
      <c r="K65" s="321"/>
      <c r="L65" s="337" t="s">
        <v>334</v>
      </c>
      <c r="M65" s="323" t="s">
        <v>335</v>
      </c>
      <c r="N65" s="323" t="s">
        <v>336</v>
      </c>
      <c r="O65" s="324"/>
      <c r="P65" s="325"/>
      <c r="Q65" s="333"/>
      <c r="R65" s="326"/>
      <c r="S65" s="326"/>
      <c r="T65" s="326"/>
      <c r="U65" s="326"/>
      <c r="V65" s="326"/>
      <c r="W65" s="326"/>
      <c r="X65" s="326"/>
      <c r="Y65" s="326"/>
      <c r="Z65" s="372"/>
      <c r="AA65" s="27"/>
      <c r="AB65" s="20"/>
      <c r="AC65" s="20"/>
      <c r="AD65" s="252"/>
      <c r="AE65" s="176"/>
      <c r="AF65" s="253"/>
      <c r="AG65" s="177"/>
      <c r="AH65" s="177"/>
      <c r="AI65" s="19" t="s">
        <v>73</v>
      </c>
      <c r="AJ65" s="310">
        <v>500</v>
      </c>
      <c r="AK65" s="19" t="s">
        <v>716</v>
      </c>
      <c r="AL65" s="177"/>
      <c r="AM65" s="246"/>
      <c r="AN65" s="246"/>
      <c r="AO65" s="16">
        <v>500</v>
      </c>
    </row>
    <row r="66" spans="1:41" ht="19.5" customHeight="1" x14ac:dyDescent="0.35">
      <c r="A66" s="313">
        <v>1497</v>
      </c>
      <c r="B66" s="319"/>
      <c r="C66" s="315"/>
      <c r="D66" s="373"/>
      <c r="E66" s="317" t="s">
        <v>614</v>
      </c>
      <c r="F66" s="335">
        <v>45447</v>
      </c>
      <c r="G66" s="335"/>
      <c r="H66" s="319" t="s">
        <v>204</v>
      </c>
      <c r="I66" s="320">
        <v>1</v>
      </c>
      <c r="J66" s="321">
        <v>45468</v>
      </c>
      <c r="K66" s="321"/>
      <c r="L66" s="337" t="s">
        <v>330</v>
      </c>
      <c r="M66" s="323" t="s">
        <v>331</v>
      </c>
      <c r="N66" s="323" t="s">
        <v>112</v>
      </c>
      <c r="O66" s="324"/>
      <c r="P66" s="369"/>
      <c r="Q66" s="333"/>
      <c r="R66" s="326"/>
      <c r="S66" s="326"/>
      <c r="T66" s="326"/>
      <c r="U66" s="326"/>
      <c r="V66" s="326"/>
      <c r="W66" s="326"/>
      <c r="X66" s="326"/>
      <c r="Y66" s="372"/>
      <c r="Z66" s="372"/>
      <c r="AA66" s="27"/>
      <c r="AB66" s="20"/>
      <c r="AC66" s="20"/>
      <c r="AD66" s="252"/>
      <c r="AE66" s="176"/>
      <c r="AF66" s="253"/>
      <c r="AG66" s="177"/>
      <c r="AH66" s="177"/>
      <c r="AI66" s="19"/>
      <c r="AJ66" s="19"/>
      <c r="AK66" s="19"/>
      <c r="AL66" s="177"/>
      <c r="AM66" s="246"/>
      <c r="AN66" s="246"/>
      <c r="AO66" s="16"/>
    </row>
    <row r="67" spans="1:41" ht="19.5" customHeight="1" x14ac:dyDescent="0.35">
      <c r="A67" s="313">
        <v>1501</v>
      </c>
      <c r="B67" s="319"/>
      <c r="C67" s="315"/>
      <c r="D67" s="330"/>
      <c r="E67" s="317" t="s">
        <v>614</v>
      </c>
      <c r="F67" s="318"/>
      <c r="G67" s="318"/>
      <c r="H67" s="319" t="s">
        <v>618</v>
      </c>
      <c r="I67" s="320">
        <v>1</v>
      </c>
      <c r="J67" s="321">
        <v>45471</v>
      </c>
      <c r="K67" s="321"/>
      <c r="L67" s="337" t="s">
        <v>338</v>
      </c>
      <c r="M67" s="323" t="s">
        <v>340</v>
      </c>
      <c r="N67" s="323" t="s">
        <v>112</v>
      </c>
      <c r="O67" s="324"/>
      <c r="P67" s="325"/>
      <c r="Q67" s="333"/>
      <c r="R67" s="386"/>
      <c r="S67" s="326"/>
      <c r="T67" s="326"/>
      <c r="U67" s="326"/>
      <c r="V67" s="326"/>
      <c r="W67" s="326"/>
      <c r="X67" s="326"/>
      <c r="Y67" s="326"/>
      <c r="Z67" s="326"/>
      <c r="AA67" s="27"/>
      <c r="AB67" s="20"/>
      <c r="AC67" s="20"/>
      <c r="AD67" s="252"/>
      <c r="AE67" s="176"/>
      <c r="AF67" s="253"/>
      <c r="AG67" s="177"/>
      <c r="AH67" s="177"/>
      <c r="AI67" s="19" t="s">
        <v>73</v>
      </c>
      <c r="AJ67" s="310">
        <v>800</v>
      </c>
      <c r="AK67" s="19" t="s">
        <v>717</v>
      </c>
      <c r="AL67" s="177"/>
      <c r="AM67" s="246"/>
      <c r="AN67" s="246"/>
      <c r="AO67" s="16"/>
    </row>
    <row r="68" spans="1:41" ht="19.5" customHeight="1" x14ac:dyDescent="0.35">
      <c r="A68" s="313">
        <v>1504</v>
      </c>
      <c r="B68" s="319"/>
      <c r="C68" s="315"/>
      <c r="D68" s="330" t="s">
        <v>718</v>
      </c>
      <c r="E68" s="317" t="s">
        <v>614</v>
      </c>
      <c r="F68" s="335">
        <v>45446</v>
      </c>
      <c r="G68" s="335" t="s">
        <v>182</v>
      </c>
      <c r="H68" s="319" t="s">
        <v>49</v>
      </c>
      <c r="I68" s="320">
        <v>1</v>
      </c>
      <c r="J68" s="321">
        <v>45465</v>
      </c>
      <c r="K68" s="321"/>
      <c r="L68" s="337" t="s">
        <v>342</v>
      </c>
      <c r="M68" s="323" t="s">
        <v>343</v>
      </c>
      <c r="N68" s="327" t="s">
        <v>344</v>
      </c>
      <c r="O68" s="324" t="s">
        <v>346</v>
      </c>
      <c r="P68" s="340" t="s">
        <v>347</v>
      </c>
      <c r="Q68" s="333" t="s">
        <v>348</v>
      </c>
      <c r="R68" s="326"/>
      <c r="S68" s="326"/>
      <c r="T68" s="326"/>
      <c r="U68" s="326"/>
      <c r="V68" s="326"/>
      <c r="W68" s="326"/>
      <c r="X68" s="326"/>
      <c r="Y68" s="326"/>
      <c r="Z68" s="326"/>
      <c r="AA68" s="27"/>
      <c r="AB68" s="20"/>
      <c r="AC68" s="20"/>
      <c r="AD68" s="252"/>
      <c r="AE68" s="176"/>
      <c r="AF68" s="253"/>
      <c r="AG68" s="177"/>
      <c r="AH68" s="177"/>
      <c r="AI68" s="19" t="s">
        <v>73</v>
      </c>
      <c r="AJ68" s="310">
        <v>800</v>
      </c>
      <c r="AK68" s="19" t="s">
        <v>688</v>
      </c>
      <c r="AL68" s="177"/>
      <c r="AM68" s="246"/>
      <c r="AN68" s="246"/>
      <c r="AO68" s="16">
        <v>500</v>
      </c>
    </row>
    <row r="69" spans="1:41" ht="19.5" customHeight="1" x14ac:dyDescent="0.35">
      <c r="A69" s="313">
        <v>1508</v>
      </c>
      <c r="B69" s="319"/>
      <c r="C69" s="315"/>
      <c r="D69" s="314"/>
      <c r="E69" s="317" t="s">
        <v>614</v>
      </c>
      <c r="F69" s="318"/>
      <c r="G69" s="387" t="s">
        <v>61</v>
      </c>
      <c r="H69" s="319" t="s">
        <v>615</v>
      </c>
      <c r="I69" s="320">
        <v>1</v>
      </c>
      <c r="J69" s="321">
        <v>45465</v>
      </c>
      <c r="K69" s="321"/>
      <c r="L69" s="337" t="s">
        <v>349</v>
      </c>
      <c r="M69" s="323" t="s">
        <v>350</v>
      </c>
      <c r="N69" s="323" t="s">
        <v>719</v>
      </c>
      <c r="O69" s="324"/>
      <c r="P69" s="325"/>
      <c r="Q69" s="333"/>
      <c r="R69" s="326"/>
      <c r="S69" s="326"/>
      <c r="T69" s="326"/>
      <c r="U69" s="326"/>
      <c r="V69" s="326"/>
      <c r="W69" s="326"/>
      <c r="X69" s="326"/>
      <c r="Y69" s="326"/>
      <c r="Z69" s="326"/>
      <c r="AA69" s="27"/>
      <c r="AB69" s="20"/>
      <c r="AC69" s="20"/>
      <c r="AD69" s="252"/>
      <c r="AE69" s="176"/>
      <c r="AF69" s="253"/>
      <c r="AG69" s="177"/>
      <c r="AH69" s="177"/>
      <c r="AI69" s="19" t="s">
        <v>73</v>
      </c>
      <c r="AJ69" s="310">
        <v>500</v>
      </c>
      <c r="AK69" s="19" t="s">
        <v>720</v>
      </c>
      <c r="AL69" s="177"/>
      <c r="AM69" s="246"/>
      <c r="AN69" s="246"/>
      <c r="AO69" s="16">
        <v>500</v>
      </c>
    </row>
    <row r="70" spans="1:41" ht="19.5" customHeight="1" x14ac:dyDescent="0.35">
      <c r="A70" s="2">
        <v>1509</v>
      </c>
      <c r="B70" s="16"/>
      <c r="C70" s="31"/>
      <c r="D70" s="35" t="s">
        <v>663</v>
      </c>
      <c r="E70" s="222" t="s">
        <v>648</v>
      </c>
      <c r="F70" s="190">
        <v>45446</v>
      </c>
      <c r="G70" s="190"/>
      <c r="H70" s="16"/>
      <c r="I70" s="43">
        <v>0</v>
      </c>
      <c r="J70" s="23"/>
      <c r="K70" s="23" t="s">
        <v>61</v>
      </c>
      <c r="L70" s="41" t="s">
        <v>721</v>
      </c>
      <c r="M70" s="42">
        <v>285799932</v>
      </c>
      <c r="N70" s="302" t="s">
        <v>722</v>
      </c>
      <c r="O70" s="36"/>
      <c r="P70" s="36"/>
      <c r="Q70" s="304"/>
      <c r="R70" s="36"/>
      <c r="S70" s="36"/>
      <c r="T70" s="36"/>
      <c r="U70" s="36"/>
      <c r="V70" s="36"/>
      <c r="W70" s="36"/>
      <c r="X70" s="36"/>
      <c r="Y70" s="36"/>
      <c r="Z70" s="36"/>
      <c r="AA70" s="16"/>
      <c r="AB70" s="23"/>
      <c r="AC70" s="23"/>
      <c r="AD70" s="33"/>
      <c r="AE70" s="23"/>
      <c r="AF70" s="275"/>
      <c r="AG70" s="26"/>
      <c r="AH70" s="26"/>
      <c r="AI70" s="36"/>
      <c r="AJ70" s="36"/>
      <c r="AK70" s="39"/>
      <c r="AL70" s="247"/>
      <c r="AM70" s="26"/>
      <c r="AN70" s="16"/>
      <c r="AO70" s="16">
        <v>400</v>
      </c>
    </row>
    <row r="71" spans="1:41" ht="19.5" customHeight="1" x14ac:dyDescent="0.35">
      <c r="A71" s="178">
        <v>1510</v>
      </c>
      <c r="B71" s="16"/>
      <c r="C71" s="31"/>
      <c r="D71" s="35" t="s">
        <v>708</v>
      </c>
      <c r="E71" s="222" t="s">
        <v>648</v>
      </c>
      <c r="F71" s="190">
        <v>45447</v>
      </c>
      <c r="G71" s="190" t="s">
        <v>182</v>
      </c>
      <c r="H71" s="16"/>
      <c r="I71" s="43">
        <v>0</v>
      </c>
      <c r="J71" s="23"/>
      <c r="K71" s="23" t="s">
        <v>61</v>
      </c>
      <c r="L71" s="206" t="s">
        <v>723</v>
      </c>
      <c r="M71" s="300" t="s">
        <v>354</v>
      </c>
      <c r="N71" s="300" t="s">
        <v>724</v>
      </c>
      <c r="O71" s="18"/>
      <c r="P71" s="179"/>
      <c r="Q71" s="304"/>
      <c r="R71" s="19"/>
      <c r="S71" s="19"/>
      <c r="T71" s="19"/>
      <c r="U71" s="19"/>
      <c r="V71" s="19"/>
      <c r="W71" s="19"/>
      <c r="X71" s="19"/>
      <c r="Y71" s="19"/>
      <c r="Z71" s="19"/>
      <c r="AA71" s="27"/>
      <c r="AB71" s="20"/>
      <c r="AC71" s="20"/>
      <c r="AD71" s="252"/>
      <c r="AE71" s="176"/>
      <c r="AF71" s="253"/>
      <c r="AG71" s="177"/>
      <c r="AH71" s="177"/>
      <c r="AI71" s="19"/>
      <c r="AJ71" s="19"/>
      <c r="AK71" s="19"/>
      <c r="AL71" s="177"/>
      <c r="AM71" s="246"/>
      <c r="AN71" s="246"/>
      <c r="AO71" s="16"/>
    </row>
    <row r="72" spans="1:41" ht="19.5" customHeight="1" x14ac:dyDescent="0.35">
      <c r="A72" s="313">
        <v>1517</v>
      </c>
      <c r="B72" s="319"/>
      <c r="C72" s="315"/>
      <c r="D72" s="314"/>
      <c r="E72" s="317" t="s">
        <v>614</v>
      </c>
      <c r="F72" s="318"/>
      <c r="G72" s="318"/>
      <c r="H72" s="319" t="s">
        <v>49</v>
      </c>
      <c r="I72" s="320">
        <v>1</v>
      </c>
      <c r="J72" s="321">
        <v>45459</v>
      </c>
      <c r="K72" s="321"/>
      <c r="L72" s="337" t="s">
        <v>357</v>
      </c>
      <c r="M72" s="337">
        <v>292784619</v>
      </c>
      <c r="N72" s="371" t="s">
        <v>358</v>
      </c>
      <c r="O72" s="324"/>
      <c r="P72" s="325"/>
      <c r="Q72" s="333"/>
      <c r="R72" s="326"/>
      <c r="S72" s="326"/>
      <c r="T72" s="326"/>
      <c r="U72" s="326"/>
      <c r="V72" s="326"/>
      <c r="W72" s="326"/>
      <c r="X72" s="326"/>
      <c r="Y72" s="326"/>
      <c r="Z72" s="326"/>
      <c r="AA72" s="27"/>
      <c r="AB72" s="20"/>
      <c r="AC72" s="20"/>
      <c r="AD72" s="252"/>
      <c r="AE72" s="176"/>
      <c r="AF72" s="253"/>
      <c r="AG72" s="177"/>
      <c r="AH72" s="177"/>
      <c r="AI72" s="19" t="s">
        <v>73</v>
      </c>
      <c r="AJ72" s="19"/>
      <c r="AK72" s="19" t="s">
        <v>73</v>
      </c>
      <c r="AL72" s="177"/>
      <c r="AM72" s="246"/>
      <c r="AN72" s="246"/>
      <c r="AO72" s="16"/>
    </row>
    <row r="73" spans="1:41" ht="19.5" customHeight="1" x14ac:dyDescent="0.35">
      <c r="A73" s="313">
        <v>1520</v>
      </c>
      <c r="B73" s="319"/>
      <c r="C73" s="315"/>
      <c r="D73" s="373"/>
      <c r="E73" s="317" t="s">
        <v>614</v>
      </c>
      <c r="F73" s="318"/>
      <c r="G73" s="335" t="s">
        <v>182</v>
      </c>
      <c r="H73" s="319" t="s">
        <v>49</v>
      </c>
      <c r="I73" s="320">
        <v>1</v>
      </c>
      <c r="J73" s="321">
        <v>45460</v>
      </c>
      <c r="K73" s="321"/>
      <c r="L73" s="337" t="s">
        <v>360</v>
      </c>
      <c r="M73" s="327" t="s">
        <v>362</v>
      </c>
      <c r="N73" s="327" t="s">
        <v>725</v>
      </c>
      <c r="O73" s="324"/>
      <c r="P73" s="325"/>
      <c r="Q73" s="333"/>
      <c r="R73" s="326"/>
      <c r="S73" s="326"/>
      <c r="T73" s="326"/>
      <c r="U73" s="326"/>
      <c r="V73" s="326"/>
      <c r="W73" s="326"/>
      <c r="X73" s="326"/>
      <c r="Y73" s="326"/>
      <c r="Z73" s="326"/>
      <c r="AA73" s="27"/>
      <c r="AB73" s="20"/>
      <c r="AC73" s="20"/>
      <c r="AD73" s="252"/>
      <c r="AE73" s="176"/>
      <c r="AF73" s="253"/>
      <c r="AG73" s="177"/>
      <c r="AH73" s="177"/>
      <c r="AI73" s="19"/>
      <c r="AJ73" s="19"/>
      <c r="AK73" s="19"/>
      <c r="AL73" s="177"/>
      <c r="AM73" s="246"/>
      <c r="AN73" s="246"/>
      <c r="AO73" s="16"/>
    </row>
    <row r="74" spans="1:41" ht="19.5" customHeight="1" x14ac:dyDescent="0.35">
      <c r="A74" s="178">
        <v>1521</v>
      </c>
      <c r="B74" s="16"/>
      <c r="C74" s="31"/>
      <c r="D74" s="35"/>
      <c r="E74" s="222" t="s">
        <v>726</v>
      </c>
      <c r="F74" s="190">
        <v>45447</v>
      </c>
      <c r="G74" s="190" t="s">
        <v>182</v>
      </c>
      <c r="H74" s="16"/>
      <c r="I74" s="43">
        <v>0</v>
      </c>
      <c r="J74" s="23"/>
      <c r="K74" s="23" t="s">
        <v>61</v>
      </c>
      <c r="L74" s="232" t="s">
        <v>727</v>
      </c>
      <c r="M74" s="303"/>
      <c r="N74" s="303"/>
      <c r="O74" s="18"/>
      <c r="P74" s="179"/>
      <c r="Q74" s="304"/>
      <c r="R74" s="19"/>
      <c r="S74" s="19"/>
      <c r="T74" s="19"/>
      <c r="U74" s="19"/>
      <c r="V74" s="19"/>
      <c r="W74" s="19"/>
      <c r="X74" s="19"/>
      <c r="Y74" s="19"/>
      <c r="Z74" s="19"/>
      <c r="AA74" s="27"/>
      <c r="AB74" s="20"/>
      <c r="AC74" s="20"/>
      <c r="AD74" s="252"/>
      <c r="AE74" s="176"/>
      <c r="AF74" s="253"/>
      <c r="AG74" s="177"/>
      <c r="AH74" s="177"/>
      <c r="AI74" s="19"/>
      <c r="AJ74" s="19"/>
      <c r="AK74" s="19"/>
      <c r="AL74" s="177"/>
      <c r="AM74" s="246"/>
      <c r="AN74" s="246"/>
      <c r="AO74" s="16"/>
    </row>
    <row r="75" spans="1:41" ht="19.5" customHeight="1" x14ac:dyDescent="0.35">
      <c r="A75" s="2">
        <v>1253</v>
      </c>
      <c r="B75" s="16">
        <v>2021</v>
      </c>
      <c r="C75" s="180" t="s">
        <v>617</v>
      </c>
      <c r="D75" s="250" t="s">
        <v>663</v>
      </c>
      <c r="E75" s="25" t="s">
        <v>728</v>
      </c>
      <c r="F75" s="210"/>
      <c r="G75" s="210"/>
      <c r="H75" s="16"/>
      <c r="I75" s="43">
        <v>0</v>
      </c>
      <c r="J75" s="23"/>
      <c r="K75" s="23" t="s">
        <v>61</v>
      </c>
      <c r="L75" s="203" t="s">
        <v>729</v>
      </c>
      <c r="M75" s="299" t="s">
        <v>730</v>
      </c>
      <c r="N75" s="299" t="s">
        <v>731</v>
      </c>
      <c r="O75" s="193"/>
      <c r="P75" s="193"/>
      <c r="Q75" s="304"/>
      <c r="R75" s="193" t="s">
        <v>51</v>
      </c>
      <c r="S75" s="193"/>
      <c r="T75" s="193"/>
      <c r="U75" s="193"/>
      <c r="V75" s="193" t="s">
        <v>51</v>
      </c>
      <c r="W75" s="193"/>
      <c r="X75" s="193"/>
      <c r="Y75" s="193"/>
      <c r="Z75" s="193"/>
      <c r="AA75" s="283"/>
      <c r="AB75" s="284"/>
      <c r="AC75" s="190">
        <v>45099</v>
      </c>
      <c r="AD75" s="262">
        <v>20235005935109</v>
      </c>
      <c r="AE75" s="263"/>
      <c r="AF75" s="276">
        <v>1796.61</v>
      </c>
      <c r="AG75" s="269"/>
      <c r="AH75" s="198"/>
      <c r="AI75" s="259"/>
      <c r="AJ75" s="259"/>
      <c r="AK75" s="259"/>
      <c r="AL75" s="247" t="s">
        <v>732</v>
      </c>
      <c r="AM75" s="199" t="s">
        <v>687</v>
      </c>
      <c r="AN75" s="16"/>
      <c r="AO75" s="16">
        <v>150</v>
      </c>
    </row>
    <row r="76" spans="1:41" ht="19.5" customHeight="1" x14ac:dyDescent="0.35">
      <c r="A76" s="328">
        <v>1527</v>
      </c>
      <c r="B76" s="319"/>
      <c r="C76" s="329"/>
      <c r="D76" s="388"/>
      <c r="E76" s="317" t="s">
        <v>614</v>
      </c>
      <c r="F76" s="335">
        <v>45447</v>
      </c>
      <c r="G76" s="335" t="s">
        <v>182</v>
      </c>
      <c r="H76" s="319" t="s">
        <v>657</v>
      </c>
      <c r="I76" s="320">
        <v>1</v>
      </c>
      <c r="J76" s="321">
        <v>45469</v>
      </c>
      <c r="K76" s="321"/>
      <c r="L76" s="337" t="s">
        <v>733</v>
      </c>
      <c r="M76" s="337">
        <v>314244999</v>
      </c>
      <c r="N76" s="337" t="s">
        <v>112</v>
      </c>
      <c r="O76" s="336"/>
      <c r="P76" s="336"/>
      <c r="Q76" s="333"/>
      <c r="R76" s="336"/>
      <c r="S76" s="336"/>
      <c r="T76" s="336"/>
      <c r="U76" s="336"/>
      <c r="V76" s="336"/>
      <c r="W76" s="336"/>
      <c r="X76" s="336"/>
      <c r="Y76" s="336"/>
      <c r="Z76" s="326"/>
      <c r="AA76" s="283"/>
      <c r="AB76" s="284"/>
      <c r="AC76" s="190"/>
      <c r="AD76" s="262"/>
      <c r="AE76" s="263"/>
      <c r="AF76" s="276"/>
      <c r="AG76" s="269"/>
      <c r="AH76" s="198"/>
      <c r="AI76" s="259"/>
      <c r="AJ76" s="259"/>
      <c r="AK76" s="259"/>
      <c r="AL76" s="247"/>
      <c r="AM76" s="199"/>
      <c r="AN76" s="16"/>
      <c r="AO76" s="16"/>
    </row>
    <row r="77" spans="1:41" ht="19.5" customHeight="1" x14ac:dyDescent="0.35">
      <c r="A77" s="328">
        <v>1532</v>
      </c>
      <c r="B77" s="319"/>
      <c r="C77" s="329"/>
      <c r="D77" s="332"/>
      <c r="E77" s="317" t="s">
        <v>614</v>
      </c>
      <c r="F77" s="335">
        <v>45447</v>
      </c>
      <c r="G77" s="335" t="s">
        <v>182</v>
      </c>
      <c r="H77" s="319" t="s">
        <v>657</v>
      </c>
      <c r="I77" s="320">
        <v>1</v>
      </c>
      <c r="J77" s="321">
        <v>45467</v>
      </c>
      <c r="K77" s="321"/>
      <c r="L77" s="337" t="s">
        <v>366</v>
      </c>
      <c r="M77" s="337" t="s">
        <v>367</v>
      </c>
      <c r="N77" s="337" t="s">
        <v>112</v>
      </c>
      <c r="O77" s="336"/>
      <c r="P77" s="336"/>
      <c r="Q77" s="333"/>
      <c r="R77" s="336"/>
      <c r="S77" s="336"/>
      <c r="T77" s="336"/>
      <c r="U77" s="336"/>
      <c r="V77" s="336"/>
      <c r="W77" s="336"/>
      <c r="X77" s="336"/>
      <c r="Y77" s="336"/>
      <c r="Z77" s="326"/>
      <c r="AA77" s="283"/>
      <c r="AB77" s="284"/>
      <c r="AC77" s="190"/>
      <c r="AD77" s="262"/>
      <c r="AE77" s="263"/>
      <c r="AF77" s="276"/>
      <c r="AG77" s="269"/>
      <c r="AH77" s="198"/>
      <c r="AI77" s="286" t="s">
        <v>73</v>
      </c>
      <c r="AJ77" s="286" t="s">
        <v>734</v>
      </c>
      <c r="AK77" s="286" t="s">
        <v>688</v>
      </c>
      <c r="AL77" s="247"/>
      <c r="AM77" s="199"/>
      <c r="AN77" s="16"/>
      <c r="AO77" s="16"/>
    </row>
    <row r="78" spans="1:41" ht="19.5" customHeight="1" x14ac:dyDescent="0.35">
      <c r="A78" s="328">
        <v>1537</v>
      </c>
      <c r="B78" s="319"/>
      <c r="C78" s="315"/>
      <c r="D78" s="389"/>
      <c r="E78" s="329" t="s">
        <v>648</v>
      </c>
      <c r="F78" s="321" t="s">
        <v>651</v>
      </c>
      <c r="G78" s="321"/>
      <c r="H78" s="319" t="s">
        <v>49</v>
      </c>
      <c r="I78" s="320">
        <v>1</v>
      </c>
      <c r="J78" s="321">
        <v>45464</v>
      </c>
      <c r="K78" s="321"/>
      <c r="L78" s="337" t="s">
        <v>370</v>
      </c>
      <c r="M78" s="337">
        <v>309094054</v>
      </c>
      <c r="N78" s="371" t="s">
        <v>371</v>
      </c>
      <c r="O78" s="372" t="s">
        <v>373</v>
      </c>
      <c r="P78" s="372">
        <v>309094321</v>
      </c>
      <c r="Q78" s="333" t="s">
        <v>735</v>
      </c>
      <c r="R78" s="372"/>
      <c r="S78" s="372"/>
      <c r="T78" s="372"/>
      <c r="U78" s="372"/>
      <c r="V78" s="372"/>
      <c r="W78" s="372"/>
      <c r="X78" s="372" t="s">
        <v>51</v>
      </c>
      <c r="Y78" s="372" t="s">
        <v>51</v>
      </c>
      <c r="Z78" s="372"/>
      <c r="AA78" s="16"/>
      <c r="AB78" s="23"/>
      <c r="AC78" s="23"/>
      <c r="AD78" s="254" t="s">
        <v>736</v>
      </c>
      <c r="AE78" s="255"/>
      <c r="AF78" s="33">
        <v>0</v>
      </c>
      <c r="AG78" s="26"/>
      <c r="AH78" s="26"/>
      <c r="AI78" s="26" t="s">
        <v>73</v>
      </c>
      <c r="AJ78" s="310">
        <v>400</v>
      </c>
      <c r="AK78" s="26" t="s">
        <v>702</v>
      </c>
      <c r="AL78" s="247" t="s">
        <v>737</v>
      </c>
      <c r="AM78" s="26" t="s">
        <v>687</v>
      </c>
      <c r="AN78" s="16"/>
      <c r="AO78" s="16">
        <v>400</v>
      </c>
    </row>
    <row r="79" spans="1:41" ht="19.5" customHeight="1" x14ac:dyDescent="0.35">
      <c r="A79" s="313">
        <v>1550</v>
      </c>
      <c r="B79" s="319"/>
      <c r="C79" s="315"/>
      <c r="D79" s="314" t="s">
        <v>644</v>
      </c>
      <c r="E79" s="317"/>
      <c r="F79" s="335">
        <v>45447</v>
      </c>
      <c r="G79" s="335" t="s">
        <v>182</v>
      </c>
      <c r="H79" s="319" t="s">
        <v>60</v>
      </c>
      <c r="I79" s="320">
        <v>1</v>
      </c>
      <c r="J79" s="321">
        <v>45454</v>
      </c>
      <c r="K79" s="321"/>
      <c r="L79" s="354" t="s">
        <v>376</v>
      </c>
      <c r="M79" s="323" t="s">
        <v>377</v>
      </c>
      <c r="N79" s="323" t="s">
        <v>378</v>
      </c>
      <c r="O79" s="372"/>
      <c r="P79" s="372"/>
      <c r="Q79" s="333"/>
      <c r="R79" s="372"/>
      <c r="S79" s="372"/>
      <c r="T79" s="372"/>
      <c r="U79" s="372"/>
      <c r="V79" s="372"/>
      <c r="W79" s="372"/>
      <c r="X79" s="372"/>
      <c r="Y79" s="372"/>
      <c r="Z79" s="372"/>
      <c r="AA79" s="16"/>
      <c r="AB79" s="23"/>
      <c r="AC79" s="23"/>
      <c r="AD79" s="32"/>
      <c r="AE79" s="39"/>
      <c r="AF79" s="33"/>
      <c r="AG79" s="177"/>
      <c r="AH79" s="177"/>
      <c r="AI79" s="19" t="s">
        <v>738</v>
      </c>
      <c r="AJ79" s="19"/>
      <c r="AK79" s="19"/>
      <c r="AL79" s="177"/>
      <c r="AM79" s="246"/>
      <c r="AN79" s="246"/>
      <c r="AO79" s="16"/>
    </row>
    <row r="80" spans="1:41" ht="19.5" customHeight="1" x14ac:dyDescent="0.35">
      <c r="A80" s="2">
        <v>1556</v>
      </c>
      <c r="B80" s="16"/>
      <c r="C80" s="31"/>
      <c r="D80" s="35"/>
      <c r="E80" s="222" t="s">
        <v>648</v>
      </c>
      <c r="F80" s="190">
        <v>45447</v>
      </c>
      <c r="G80" s="190" t="s">
        <v>182</v>
      </c>
      <c r="H80" s="16"/>
      <c r="I80" s="43">
        <v>0</v>
      </c>
      <c r="J80" s="23"/>
      <c r="K80" s="23" t="s">
        <v>61</v>
      </c>
      <c r="L80" s="206" t="s">
        <v>380</v>
      </c>
      <c r="M80" s="42" t="s">
        <v>381</v>
      </c>
      <c r="N80" s="42" t="s">
        <v>112</v>
      </c>
      <c r="O80" s="36"/>
      <c r="P80" s="36"/>
      <c r="Q80" s="304"/>
      <c r="R80" s="36"/>
      <c r="S80" s="36"/>
      <c r="T80" s="36"/>
      <c r="U80" s="36"/>
      <c r="V80" s="36"/>
      <c r="W80" s="36"/>
      <c r="X80" s="36"/>
      <c r="Y80" s="36"/>
      <c r="Z80" s="36"/>
      <c r="AA80" s="16"/>
      <c r="AB80" s="23"/>
      <c r="AC80" s="23"/>
      <c r="AD80" s="254"/>
      <c r="AE80" s="255"/>
      <c r="AF80" s="33"/>
      <c r="AG80" s="26"/>
      <c r="AH80" s="26"/>
      <c r="AI80" s="36"/>
      <c r="AJ80" s="36"/>
      <c r="AK80" s="36"/>
      <c r="AL80" s="247"/>
      <c r="AM80" s="26"/>
      <c r="AN80" s="16"/>
      <c r="AO80" s="16"/>
    </row>
    <row r="81" spans="1:44" ht="19.5" customHeight="1" x14ac:dyDescent="0.35">
      <c r="A81" s="2">
        <v>1560</v>
      </c>
      <c r="B81" s="16"/>
      <c r="C81" s="31"/>
      <c r="D81" s="35"/>
      <c r="E81" s="222" t="s">
        <v>648</v>
      </c>
      <c r="F81" s="190">
        <v>45447</v>
      </c>
      <c r="G81" s="190" t="s">
        <v>182</v>
      </c>
      <c r="H81" s="16"/>
      <c r="I81" s="43">
        <v>0</v>
      </c>
      <c r="J81" s="23"/>
      <c r="K81" s="23" t="s">
        <v>61</v>
      </c>
      <c r="L81" s="206" t="s">
        <v>739</v>
      </c>
      <c r="M81" s="42" t="s">
        <v>388</v>
      </c>
      <c r="N81" s="42" t="s">
        <v>112</v>
      </c>
      <c r="O81" s="36"/>
      <c r="P81" s="36"/>
      <c r="Q81" s="304"/>
      <c r="R81" s="36"/>
      <c r="S81" s="36"/>
      <c r="T81" s="36"/>
      <c r="U81" s="36"/>
      <c r="V81" s="36"/>
      <c r="W81" s="36"/>
      <c r="X81" s="36"/>
      <c r="Y81" s="36"/>
      <c r="Z81" s="36"/>
      <c r="AA81" s="16"/>
      <c r="AB81" s="23"/>
      <c r="AC81" s="23"/>
      <c r="AD81" s="254"/>
      <c r="AE81" s="255"/>
      <c r="AF81" s="33"/>
      <c r="AG81" s="26"/>
      <c r="AH81" s="26"/>
      <c r="AI81" s="36"/>
      <c r="AJ81" s="36"/>
      <c r="AK81" s="36"/>
      <c r="AL81" s="247"/>
      <c r="AM81" s="26"/>
      <c r="AN81" s="16"/>
      <c r="AO81" s="16"/>
      <c r="AP81" s="26"/>
      <c r="AQ81" s="20"/>
      <c r="AR81" s="26"/>
    </row>
    <row r="82" spans="1:44" ht="19.5" customHeight="1" x14ac:dyDescent="0.35">
      <c r="A82" s="313">
        <v>1562</v>
      </c>
      <c r="B82" s="319"/>
      <c r="C82" s="315"/>
      <c r="D82" s="314"/>
      <c r="E82" s="317" t="s">
        <v>614</v>
      </c>
      <c r="F82" s="318"/>
      <c r="G82" s="335" t="s">
        <v>182</v>
      </c>
      <c r="H82" s="319" t="s">
        <v>646</v>
      </c>
      <c r="I82" s="320">
        <v>1</v>
      </c>
      <c r="J82" s="321">
        <v>45468</v>
      </c>
      <c r="K82" s="321"/>
      <c r="L82" s="322" t="s">
        <v>390</v>
      </c>
      <c r="M82" s="337">
        <v>298479354</v>
      </c>
      <c r="N82" s="371" t="s">
        <v>391</v>
      </c>
      <c r="O82" s="372"/>
      <c r="P82" s="372"/>
      <c r="Q82" s="333"/>
      <c r="R82" s="372"/>
      <c r="S82" s="372"/>
      <c r="T82" s="372"/>
      <c r="U82" s="372"/>
      <c r="V82" s="372"/>
      <c r="W82" s="372"/>
      <c r="X82" s="372"/>
      <c r="Y82" s="372"/>
      <c r="Z82" s="372"/>
      <c r="AA82" s="16"/>
      <c r="AB82" s="23"/>
      <c r="AC82" s="23"/>
      <c r="AD82" s="32"/>
      <c r="AE82" s="39"/>
      <c r="AF82" s="33"/>
      <c r="AG82" s="177"/>
      <c r="AH82" s="177"/>
      <c r="AI82" s="19" t="s">
        <v>738</v>
      </c>
      <c r="AJ82" s="19"/>
      <c r="AK82" s="19"/>
      <c r="AL82" s="177"/>
      <c r="AM82" s="246"/>
      <c r="AN82" s="246"/>
      <c r="AO82" s="16"/>
      <c r="AP82" s="246"/>
      <c r="AQ82" s="176"/>
      <c r="AR82" s="177"/>
    </row>
    <row r="83" spans="1:44" ht="19.5" customHeight="1" x14ac:dyDescent="0.35">
      <c r="A83" s="223">
        <v>1564</v>
      </c>
      <c r="B83" s="228"/>
      <c r="C83" s="225"/>
      <c r="D83" s="224"/>
      <c r="E83" s="226" t="s">
        <v>648</v>
      </c>
      <c r="F83" s="227">
        <v>45447</v>
      </c>
      <c r="G83" s="227"/>
      <c r="H83" s="228"/>
      <c r="I83" s="229">
        <v>0</v>
      </c>
      <c r="J83" s="23"/>
      <c r="K83" s="23" t="s">
        <v>61</v>
      </c>
      <c r="L83" s="230" t="s">
        <v>740</v>
      </c>
      <c r="M83" s="230" t="s">
        <v>741</v>
      </c>
      <c r="N83" s="230" t="s">
        <v>112</v>
      </c>
      <c r="O83" s="231"/>
      <c r="P83" s="231"/>
      <c r="Q83" s="231"/>
      <c r="R83" s="231"/>
      <c r="S83" s="231"/>
      <c r="T83" s="36"/>
      <c r="U83" s="36"/>
      <c r="V83" s="36"/>
      <c r="W83" s="36"/>
      <c r="X83" s="36"/>
      <c r="Y83" s="36"/>
      <c r="Z83" s="36"/>
      <c r="AA83" s="16"/>
      <c r="AB83" s="23"/>
      <c r="AC83" s="23"/>
      <c r="AD83" s="32"/>
      <c r="AE83" s="39"/>
      <c r="AF83" s="33"/>
      <c r="AG83" s="177"/>
      <c r="AH83" s="177"/>
      <c r="AI83" s="19"/>
      <c r="AJ83" s="19"/>
      <c r="AK83" s="19"/>
      <c r="AL83" s="177"/>
      <c r="AM83" s="246"/>
      <c r="AN83" s="246"/>
      <c r="AO83" s="16"/>
      <c r="AP83" s="246"/>
      <c r="AQ83" s="176"/>
      <c r="AR83" s="177"/>
    </row>
    <row r="84" spans="1:44" ht="19.5" customHeight="1" x14ac:dyDescent="0.35">
      <c r="A84" s="313">
        <v>1566</v>
      </c>
      <c r="B84" s="319"/>
      <c r="C84" s="315"/>
      <c r="D84" s="314"/>
      <c r="E84" s="390" t="s">
        <v>648</v>
      </c>
      <c r="F84" s="335">
        <v>45447</v>
      </c>
      <c r="G84" s="335" t="s">
        <v>182</v>
      </c>
      <c r="H84" s="319" t="s">
        <v>615</v>
      </c>
      <c r="I84" s="320">
        <v>1</v>
      </c>
      <c r="J84" s="321">
        <v>45466</v>
      </c>
      <c r="K84" s="321"/>
      <c r="L84" s="337" t="s">
        <v>393</v>
      </c>
      <c r="M84" s="337" t="s">
        <v>742</v>
      </c>
      <c r="N84" s="337" t="s">
        <v>112</v>
      </c>
      <c r="O84" s="319" t="s">
        <v>397</v>
      </c>
      <c r="P84" s="319" t="s">
        <v>112</v>
      </c>
      <c r="Q84" s="333"/>
      <c r="R84" s="372"/>
      <c r="S84" s="372"/>
      <c r="T84" s="372"/>
      <c r="U84" s="372"/>
      <c r="V84" s="372"/>
      <c r="W84" s="372"/>
      <c r="X84" s="372"/>
      <c r="Y84" s="372"/>
      <c r="Z84" s="372"/>
      <c r="AA84" s="16"/>
      <c r="AB84" s="23"/>
      <c r="AC84" s="23"/>
      <c r="AD84" s="32"/>
      <c r="AE84" s="39"/>
      <c r="AF84" s="33"/>
      <c r="AG84" s="177"/>
      <c r="AH84" s="177"/>
      <c r="AI84" s="19"/>
      <c r="AJ84" s="19"/>
      <c r="AK84" s="19"/>
      <c r="AL84" s="177"/>
      <c r="AM84" s="246"/>
      <c r="AN84" s="246"/>
      <c r="AO84" s="16"/>
      <c r="AP84" s="246"/>
      <c r="AQ84" s="176"/>
      <c r="AR84" s="177"/>
    </row>
    <row r="85" spans="1:44" ht="19.5" customHeight="1" x14ac:dyDescent="0.35">
      <c r="A85" s="313">
        <v>1568</v>
      </c>
      <c r="B85" s="319"/>
      <c r="C85" s="315"/>
      <c r="D85" s="373"/>
      <c r="E85" s="317" t="s">
        <v>614</v>
      </c>
      <c r="F85" s="335">
        <v>45447</v>
      </c>
      <c r="G85" s="335" t="s">
        <v>182</v>
      </c>
      <c r="H85" s="319" t="s">
        <v>706</v>
      </c>
      <c r="I85" s="320">
        <v>1</v>
      </c>
      <c r="J85" s="321">
        <v>45467</v>
      </c>
      <c r="K85" s="321"/>
      <c r="L85" s="337" t="s">
        <v>399</v>
      </c>
      <c r="M85" s="337" t="s">
        <v>400</v>
      </c>
      <c r="N85" s="337" t="s">
        <v>112</v>
      </c>
      <c r="O85" s="372"/>
      <c r="P85" s="372"/>
      <c r="Q85" s="333"/>
      <c r="R85" s="372"/>
      <c r="S85" s="372"/>
      <c r="T85" s="372"/>
      <c r="U85" s="372"/>
      <c r="V85" s="372"/>
      <c r="W85" s="372"/>
      <c r="X85" s="372"/>
      <c r="Y85" s="372"/>
      <c r="Z85" s="372"/>
      <c r="AA85" s="16"/>
      <c r="AB85" s="23"/>
      <c r="AC85" s="23"/>
      <c r="AD85" s="32"/>
      <c r="AE85" s="39"/>
      <c r="AF85" s="33"/>
      <c r="AG85" s="177"/>
      <c r="AH85" s="177"/>
      <c r="AI85" s="19"/>
      <c r="AJ85" s="19"/>
      <c r="AK85" s="19"/>
      <c r="AL85" s="177"/>
      <c r="AM85" s="246"/>
      <c r="AN85" s="246"/>
      <c r="AO85" s="16"/>
      <c r="AP85" s="246"/>
      <c r="AQ85" s="176"/>
      <c r="AR85" s="177"/>
    </row>
    <row r="86" spans="1:44" ht="19.5" customHeight="1" x14ac:dyDescent="0.35">
      <c r="A86" s="313">
        <v>1570</v>
      </c>
      <c r="B86" s="319"/>
      <c r="C86" s="315"/>
      <c r="D86" s="314"/>
      <c r="E86" s="317" t="s">
        <v>614</v>
      </c>
      <c r="F86" s="318"/>
      <c r="G86" s="335" t="s">
        <v>182</v>
      </c>
      <c r="H86" s="319" t="s">
        <v>616</v>
      </c>
      <c r="I86" s="320">
        <v>1</v>
      </c>
      <c r="J86" s="321">
        <v>45463</v>
      </c>
      <c r="K86" s="321"/>
      <c r="L86" s="322" t="s">
        <v>402</v>
      </c>
      <c r="M86" s="337" t="s">
        <v>403</v>
      </c>
      <c r="N86" s="371" t="s">
        <v>112</v>
      </c>
      <c r="O86" s="372"/>
      <c r="P86" s="372"/>
      <c r="Q86" s="333"/>
      <c r="R86" s="372"/>
      <c r="S86" s="372"/>
      <c r="T86" s="372"/>
      <c r="U86" s="372"/>
      <c r="V86" s="372"/>
      <c r="W86" s="372"/>
      <c r="X86" s="372"/>
      <c r="Y86" s="372"/>
      <c r="Z86" s="372"/>
      <c r="AA86" s="16"/>
      <c r="AB86" s="23"/>
      <c r="AC86" s="23"/>
      <c r="AD86" s="32"/>
      <c r="AE86" s="39"/>
      <c r="AF86" s="33"/>
      <c r="AG86" s="177"/>
      <c r="AH86" s="177"/>
      <c r="AI86" s="19" t="s">
        <v>73</v>
      </c>
      <c r="AJ86" s="310">
        <v>500</v>
      </c>
      <c r="AK86" s="19" t="s">
        <v>743</v>
      </c>
      <c r="AL86" s="177"/>
      <c r="AM86" s="246"/>
      <c r="AN86" s="246"/>
      <c r="AO86" s="16"/>
      <c r="AP86" s="246"/>
      <c r="AQ86" s="176"/>
      <c r="AR86" s="177"/>
    </row>
    <row r="87" spans="1:44" ht="19.5" customHeight="1" x14ac:dyDescent="0.35">
      <c r="A87" s="313">
        <v>1573</v>
      </c>
      <c r="B87" s="319"/>
      <c r="C87" s="315"/>
      <c r="D87" s="314"/>
      <c r="E87" s="317" t="s">
        <v>614</v>
      </c>
      <c r="F87" s="318"/>
      <c r="G87" s="335" t="s">
        <v>182</v>
      </c>
      <c r="H87" s="319" t="s">
        <v>657</v>
      </c>
      <c r="I87" s="320">
        <v>1</v>
      </c>
      <c r="J87" s="321"/>
      <c r="K87" s="321"/>
      <c r="L87" s="337" t="s">
        <v>744</v>
      </c>
      <c r="M87" s="327" t="s">
        <v>745</v>
      </c>
      <c r="N87" s="327" t="s">
        <v>746</v>
      </c>
      <c r="O87" s="324"/>
      <c r="P87" s="325"/>
      <c r="Q87" s="333"/>
      <c r="R87" s="326"/>
      <c r="S87" s="326"/>
      <c r="T87" s="326"/>
      <c r="U87" s="326"/>
      <c r="V87" s="326"/>
      <c r="W87" s="326"/>
      <c r="X87" s="326"/>
      <c r="Y87" s="326"/>
      <c r="Z87" s="326"/>
      <c r="AA87" s="27"/>
      <c r="AB87" s="20"/>
      <c r="AC87" s="20"/>
      <c r="AD87" s="252"/>
      <c r="AE87" s="176"/>
      <c r="AF87" s="253"/>
      <c r="AG87" s="177"/>
      <c r="AH87" s="177"/>
      <c r="AI87" s="19" t="s">
        <v>738</v>
      </c>
      <c r="AJ87" s="19"/>
      <c r="AK87" s="19"/>
      <c r="AL87" s="177"/>
      <c r="AM87" s="246"/>
      <c r="AN87" s="246"/>
      <c r="AO87" s="16"/>
      <c r="AP87" s="246"/>
      <c r="AQ87" s="176"/>
      <c r="AR87" s="177" t="s">
        <v>540</v>
      </c>
    </row>
    <row r="88" spans="1:44" ht="19.5" customHeight="1" x14ac:dyDescent="0.35">
      <c r="A88" s="313">
        <v>1575</v>
      </c>
      <c r="B88" s="319"/>
      <c r="C88" s="315"/>
      <c r="D88" s="314"/>
      <c r="E88" s="317" t="s">
        <v>614</v>
      </c>
      <c r="F88" s="318"/>
      <c r="G88" s="335" t="s">
        <v>182</v>
      </c>
      <c r="H88" s="319" t="s">
        <v>747</v>
      </c>
      <c r="I88" s="320">
        <v>1</v>
      </c>
      <c r="J88" s="321">
        <v>45466</v>
      </c>
      <c r="K88" s="321"/>
      <c r="L88" s="337" t="s">
        <v>405</v>
      </c>
      <c r="M88" s="327" t="s">
        <v>406</v>
      </c>
      <c r="N88" s="391" t="s">
        <v>112</v>
      </c>
      <c r="O88" s="324"/>
      <c r="P88" s="325"/>
      <c r="Q88" s="333"/>
      <c r="R88" s="326"/>
      <c r="S88" s="326"/>
      <c r="T88" s="326"/>
      <c r="U88" s="326"/>
      <c r="V88" s="326"/>
      <c r="W88" s="326"/>
      <c r="X88" s="326"/>
      <c r="Y88" s="326"/>
      <c r="Z88" s="326"/>
      <c r="AA88" s="27"/>
      <c r="AB88" s="20"/>
      <c r="AC88" s="20"/>
      <c r="AD88" s="252"/>
      <c r="AE88" s="176"/>
      <c r="AF88" s="253"/>
      <c r="AG88" s="177"/>
      <c r="AH88" s="177"/>
      <c r="AI88" s="19" t="s">
        <v>73</v>
      </c>
      <c r="AJ88" s="19"/>
      <c r="AK88" s="19" t="s">
        <v>73</v>
      </c>
      <c r="AL88" s="177"/>
      <c r="AM88" s="246"/>
      <c r="AN88" s="246"/>
      <c r="AO88" s="16">
        <v>500</v>
      </c>
      <c r="AP88" s="246"/>
      <c r="AQ88" s="176"/>
      <c r="AR88" s="177"/>
    </row>
    <row r="89" spans="1:44" ht="19.5" customHeight="1" x14ac:dyDescent="0.35">
      <c r="A89" s="178">
        <v>1579</v>
      </c>
      <c r="B89" s="16"/>
      <c r="C89" s="31"/>
      <c r="D89" s="35"/>
      <c r="E89" s="222" t="s">
        <v>648</v>
      </c>
      <c r="F89" s="190">
        <v>45447</v>
      </c>
      <c r="G89" s="190" t="s">
        <v>182</v>
      </c>
      <c r="H89" s="16"/>
      <c r="I89" s="43">
        <v>0</v>
      </c>
      <c r="J89" s="23"/>
      <c r="K89" s="23" t="s">
        <v>61</v>
      </c>
      <c r="L89" s="206" t="s">
        <v>748</v>
      </c>
      <c r="M89" s="301" t="s">
        <v>531</v>
      </c>
      <c r="N89" s="301" t="s">
        <v>112</v>
      </c>
      <c r="O89" s="18"/>
      <c r="P89" s="179"/>
      <c r="Q89" s="304"/>
      <c r="R89" s="19"/>
      <c r="S89" s="19"/>
      <c r="T89" s="19"/>
      <c r="U89" s="19"/>
      <c r="V89" s="19"/>
      <c r="W89" s="19"/>
      <c r="X89" s="19"/>
      <c r="Y89" s="19"/>
      <c r="Z89" s="19"/>
      <c r="AA89" s="27"/>
      <c r="AB89" s="20"/>
      <c r="AC89" s="20"/>
      <c r="AD89" s="252"/>
      <c r="AE89" s="176"/>
      <c r="AF89" s="253"/>
      <c r="AG89" s="177"/>
      <c r="AH89" s="177"/>
      <c r="AI89" s="19"/>
      <c r="AJ89" s="19"/>
      <c r="AK89" s="19"/>
      <c r="AL89" s="177"/>
      <c r="AM89" s="246"/>
      <c r="AN89" s="246"/>
      <c r="AO89" s="16"/>
      <c r="AP89" s="246"/>
      <c r="AQ89" s="176"/>
      <c r="AR89" s="177"/>
    </row>
    <row r="90" spans="1:44" ht="19.5" customHeight="1" x14ac:dyDescent="0.35">
      <c r="A90" s="313">
        <v>1582</v>
      </c>
      <c r="B90" s="319"/>
      <c r="C90" s="315"/>
      <c r="D90" s="314"/>
      <c r="E90" s="317" t="s">
        <v>614</v>
      </c>
      <c r="F90" s="317"/>
      <c r="G90" s="335" t="s">
        <v>182</v>
      </c>
      <c r="H90" s="319"/>
      <c r="I90" s="320">
        <v>1</v>
      </c>
      <c r="J90" s="321">
        <v>45425</v>
      </c>
      <c r="K90" s="321"/>
      <c r="L90" s="354" t="s">
        <v>749</v>
      </c>
      <c r="M90" s="337" t="s">
        <v>750</v>
      </c>
      <c r="N90" s="371" t="s">
        <v>112</v>
      </c>
      <c r="O90" s="372"/>
      <c r="P90" s="372"/>
      <c r="Q90" s="333"/>
      <c r="R90" s="372"/>
      <c r="S90" s="372"/>
      <c r="T90" s="372"/>
      <c r="U90" s="372"/>
      <c r="V90" s="372"/>
      <c r="W90" s="372"/>
      <c r="X90" s="372"/>
      <c r="Y90" s="372"/>
      <c r="Z90" s="372"/>
      <c r="AA90" s="16"/>
      <c r="AB90" s="23"/>
      <c r="AC90" s="20" t="s">
        <v>751</v>
      </c>
      <c r="AD90" s="32"/>
      <c r="AE90" s="39"/>
      <c r="AF90" s="33"/>
      <c r="AG90" s="177"/>
      <c r="AH90" s="177"/>
      <c r="AI90" s="19"/>
      <c r="AJ90" s="19"/>
      <c r="AK90" s="19"/>
      <c r="AL90" s="177"/>
      <c r="AM90" s="246"/>
      <c r="AN90" s="246"/>
      <c r="AO90" s="16"/>
      <c r="AP90" s="246"/>
      <c r="AQ90" s="176"/>
      <c r="AR90" s="177"/>
    </row>
    <row r="91" spans="1:44" ht="19.5" customHeight="1" x14ac:dyDescent="0.35">
      <c r="A91" s="178">
        <v>1584</v>
      </c>
      <c r="B91" s="16"/>
      <c r="C91" s="31"/>
      <c r="D91" s="35"/>
      <c r="E91" s="222" t="s">
        <v>648</v>
      </c>
      <c r="F91" s="190">
        <v>45447</v>
      </c>
      <c r="G91" s="190" t="s">
        <v>182</v>
      </c>
      <c r="H91" s="16"/>
      <c r="I91" s="43">
        <v>0</v>
      </c>
      <c r="J91" s="23"/>
      <c r="K91" s="23" t="s">
        <v>61</v>
      </c>
      <c r="L91" s="206" t="s">
        <v>752</v>
      </c>
      <c r="M91" s="301" t="s">
        <v>753</v>
      </c>
      <c r="N91" s="301" t="s">
        <v>754</v>
      </c>
      <c r="O91" s="179" t="s">
        <v>755</v>
      </c>
      <c r="P91" s="179" t="s">
        <v>112</v>
      </c>
      <c r="Q91" s="304"/>
      <c r="R91" s="36"/>
      <c r="S91" s="36"/>
      <c r="T91" s="36"/>
      <c r="U91" s="36"/>
      <c r="V91" s="36"/>
      <c r="W91" s="36"/>
      <c r="X91" s="36"/>
      <c r="Y91" s="36"/>
      <c r="Z91" s="36"/>
      <c r="AA91" s="16"/>
      <c r="AB91" s="23"/>
      <c r="AC91" s="23"/>
      <c r="AD91" s="32"/>
      <c r="AE91" s="39"/>
      <c r="AF91" s="33"/>
      <c r="AG91" s="177"/>
      <c r="AH91" s="177"/>
      <c r="AI91" s="19"/>
      <c r="AJ91" s="19"/>
      <c r="AK91" s="19"/>
      <c r="AL91" s="177"/>
      <c r="AM91" s="246"/>
      <c r="AN91" s="246"/>
      <c r="AO91" s="16"/>
      <c r="AP91" s="246"/>
      <c r="AQ91" s="176"/>
      <c r="AR91" s="177"/>
    </row>
    <row r="92" spans="1:44" ht="19.5" customHeight="1" x14ac:dyDescent="0.35">
      <c r="A92" s="212">
        <v>1587</v>
      </c>
      <c r="B92" s="216"/>
      <c r="C92" s="214"/>
      <c r="D92" s="213"/>
      <c r="E92" s="215" t="s">
        <v>648</v>
      </c>
      <c r="F92" s="221">
        <v>45447</v>
      </c>
      <c r="G92" s="221" t="s">
        <v>182</v>
      </c>
      <c r="H92" s="216"/>
      <c r="I92" s="217">
        <v>0</v>
      </c>
      <c r="J92" s="23"/>
      <c r="K92" s="23" t="s">
        <v>61</v>
      </c>
      <c r="L92" s="218" t="s">
        <v>408</v>
      </c>
      <c r="M92" s="308" t="s">
        <v>409</v>
      </c>
      <c r="N92" s="308" t="s">
        <v>112</v>
      </c>
      <c r="O92" s="219"/>
      <c r="P92" s="219"/>
      <c r="Q92" s="220"/>
      <c r="R92" s="220"/>
      <c r="S92" s="220"/>
      <c r="T92" s="220"/>
      <c r="U92" s="220"/>
      <c r="V92" s="36"/>
      <c r="W92" s="36"/>
      <c r="X92" s="36"/>
      <c r="Y92" s="36"/>
      <c r="Z92" s="36"/>
      <c r="AA92" s="16"/>
      <c r="AB92" s="23"/>
      <c r="AC92" s="23"/>
      <c r="AD92" s="32"/>
      <c r="AE92" s="39"/>
      <c r="AF92" s="33"/>
      <c r="AG92" s="177"/>
      <c r="AH92" s="177"/>
      <c r="AI92" s="19"/>
      <c r="AJ92" s="19"/>
      <c r="AK92" s="19"/>
      <c r="AL92" s="177"/>
      <c r="AM92" s="246"/>
      <c r="AN92" s="246"/>
      <c r="AO92" s="16"/>
      <c r="AP92" s="246"/>
      <c r="AQ92" s="176"/>
      <c r="AR92" s="177"/>
    </row>
    <row r="93" spans="1:44" ht="19.5" customHeight="1" x14ac:dyDescent="0.35">
      <c r="A93" s="313">
        <v>1588</v>
      </c>
      <c r="B93" s="319"/>
      <c r="C93" s="315"/>
      <c r="D93" s="314"/>
      <c r="E93" s="317" t="s">
        <v>614</v>
      </c>
      <c r="F93" s="317"/>
      <c r="G93" s="335" t="s">
        <v>182</v>
      </c>
      <c r="H93" s="319"/>
      <c r="I93" s="320">
        <v>1</v>
      </c>
      <c r="J93" s="321">
        <v>45446</v>
      </c>
      <c r="K93" s="321"/>
      <c r="L93" s="354" t="s">
        <v>411</v>
      </c>
      <c r="M93" s="337" t="s">
        <v>412</v>
      </c>
      <c r="N93" s="337" t="s">
        <v>112</v>
      </c>
      <c r="O93" s="372"/>
      <c r="P93" s="372"/>
      <c r="Q93" s="333"/>
      <c r="R93" s="372"/>
      <c r="S93" s="372" t="s">
        <v>756</v>
      </c>
      <c r="T93" s="372"/>
      <c r="U93" s="372"/>
      <c r="V93" s="372"/>
      <c r="W93" s="372"/>
      <c r="X93" s="372"/>
      <c r="Y93" s="372"/>
      <c r="Z93" s="372"/>
      <c r="AA93" s="16"/>
      <c r="AB93" s="23"/>
      <c r="AC93" s="296" t="s">
        <v>757</v>
      </c>
      <c r="AD93" s="32"/>
      <c r="AE93" s="39"/>
      <c r="AF93" s="33"/>
      <c r="AG93" s="177"/>
      <c r="AH93" s="177"/>
      <c r="AI93" s="19" t="s">
        <v>738</v>
      </c>
      <c r="AJ93" s="19"/>
      <c r="AK93" s="19"/>
      <c r="AL93" s="177"/>
      <c r="AM93" s="246"/>
      <c r="AN93" s="246"/>
      <c r="AO93" s="16"/>
      <c r="AP93" s="246"/>
      <c r="AQ93" s="176"/>
      <c r="AR93" s="17" t="s">
        <v>540</v>
      </c>
    </row>
    <row r="94" spans="1:44" ht="19.5" customHeight="1" x14ac:dyDescent="0.35">
      <c r="A94" s="178">
        <v>1590</v>
      </c>
      <c r="B94" s="16"/>
      <c r="C94" s="31"/>
      <c r="D94" s="35"/>
      <c r="E94" s="222"/>
      <c r="F94" s="190">
        <v>45447</v>
      </c>
      <c r="G94" s="190" t="s">
        <v>182</v>
      </c>
      <c r="H94" s="16"/>
      <c r="I94" s="43">
        <v>0</v>
      </c>
      <c r="J94" s="23"/>
      <c r="K94" s="23" t="s">
        <v>61</v>
      </c>
      <c r="L94" s="206" t="s">
        <v>758</v>
      </c>
      <c r="M94" s="42"/>
      <c r="N94" s="42"/>
      <c r="O94" s="36"/>
      <c r="P94" s="36"/>
      <c r="Q94" s="304"/>
      <c r="R94" s="36"/>
      <c r="S94" s="36"/>
      <c r="T94" s="36"/>
      <c r="U94" s="36"/>
      <c r="V94" s="36"/>
      <c r="W94" s="36"/>
      <c r="X94" s="36"/>
      <c r="Y94" s="36"/>
      <c r="Z94" s="36"/>
      <c r="AA94" s="16"/>
      <c r="AB94" s="23"/>
      <c r="AC94" s="23"/>
      <c r="AD94" s="32"/>
      <c r="AE94" s="39"/>
      <c r="AF94" s="33"/>
      <c r="AG94" s="177"/>
      <c r="AH94" s="177"/>
      <c r="AI94" s="19"/>
      <c r="AJ94" s="19"/>
      <c r="AK94" s="19"/>
      <c r="AL94" s="177"/>
      <c r="AM94" s="246"/>
      <c r="AN94" s="246"/>
      <c r="AO94" s="16"/>
      <c r="AP94" s="246"/>
      <c r="AQ94" s="176"/>
      <c r="AR94" s="17"/>
    </row>
    <row r="95" spans="1:44" ht="19.5" customHeight="1" x14ac:dyDescent="0.35">
      <c r="A95" s="2">
        <v>1594</v>
      </c>
      <c r="B95" s="16"/>
      <c r="C95" s="19"/>
      <c r="D95" s="235"/>
      <c r="E95" s="222"/>
      <c r="F95" s="190">
        <v>45447</v>
      </c>
      <c r="G95" s="190" t="s">
        <v>182</v>
      </c>
      <c r="H95" s="16"/>
      <c r="I95" s="43">
        <v>0</v>
      </c>
      <c r="J95" s="23"/>
      <c r="K95" s="23" t="s">
        <v>61</v>
      </c>
      <c r="L95" s="206" t="s">
        <v>578</v>
      </c>
      <c r="M95" s="42">
        <v>323367151</v>
      </c>
      <c r="N95" s="42"/>
      <c r="O95" s="16"/>
      <c r="P95" s="16"/>
      <c r="Q95" s="304"/>
      <c r="R95" s="16"/>
      <c r="S95" s="16"/>
      <c r="T95" s="16"/>
      <c r="U95" s="16"/>
      <c r="V95" s="16"/>
      <c r="W95" s="16"/>
      <c r="X95" s="16"/>
      <c r="Y95" s="16"/>
      <c r="Z95" s="16"/>
      <c r="AA95" s="24"/>
      <c r="AB95" s="23"/>
      <c r="AC95" s="20"/>
      <c r="AD95" s="272"/>
      <c r="AE95" s="23"/>
      <c r="AF95" s="194"/>
      <c r="AG95" s="194"/>
      <c r="AH95" s="194"/>
      <c r="AI95" s="18"/>
      <c r="AJ95" s="18"/>
      <c r="AK95" s="257"/>
      <c r="AL95" s="17" t="s">
        <v>759</v>
      </c>
      <c r="AM95" s="194"/>
      <c r="AN95" s="16"/>
      <c r="AO95" s="16"/>
      <c r="AP95" s="16"/>
      <c r="AQ95" s="23"/>
      <c r="AR95" s="16"/>
    </row>
    <row r="96" spans="1:44" ht="19.5" customHeight="1" x14ac:dyDescent="0.35">
      <c r="A96" s="178">
        <v>1595</v>
      </c>
      <c r="B96" s="16"/>
      <c r="C96" s="31"/>
      <c r="D96" s="35"/>
      <c r="E96" s="222"/>
      <c r="F96" s="190">
        <v>45447</v>
      </c>
      <c r="G96" s="190" t="s">
        <v>182</v>
      </c>
      <c r="H96" s="16"/>
      <c r="I96" s="43">
        <v>0</v>
      </c>
      <c r="J96" s="23"/>
      <c r="K96" s="23" t="s">
        <v>61</v>
      </c>
      <c r="L96" s="206" t="s">
        <v>414</v>
      </c>
      <c r="M96" s="42">
        <v>323520812</v>
      </c>
      <c r="N96" s="42"/>
      <c r="O96" s="36"/>
      <c r="P96" s="36"/>
      <c r="Q96" s="304"/>
      <c r="R96" s="36"/>
      <c r="S96" s="36"/>
      <c r="T96" s="36"/>
      <c r="U96" s="36"/>
      <c r="V96" s="36"/>
      <c r="W96" s="36"/>
      <c r="X96" s="36"/>
      <c r="Y96" s="36"/>
      <c r="Z96" s="36"/>
      <c r="AA96" s="16"/>
      <c r="AB96" s="23"/>
      <c r="AC96" s="23"/>
      <c r="AD96" s="32"/>
      <c r="AE96" s="39"/>
      <c r="AF96" s="33"/>
      <c r="AG96" s="177"/>
      <c r="AH96" s="177"/>
      <c r="AI96" s="19"/>
      <c r="AJ96" s="19"/>
      <c r="AK96" s="19"/>
      <c r="AL96" s="177"/>
      <c r="AM96" s="246"/>
      <c r="AN96" s="246"/>
      <c r="AO96" s="16"/>
      <c r="AP96" s="246"/>
      <c r="AQ96" s="176"/>
      <c r="AR96" s="17"/>
    </row>
    <row r="97" spans="1:41" ht="19.5" customHeight="1" x14ac:dyDescent="0.35">
      <c r="A97" s="2">
        <v>1596</v>
      </c>
      <c r="B97" s="16"/>
      <c r="C97" s="19"/>
      <c r="D97" s="235"/>
      <c r="E97" s="222"/>
      <c r="F97" s="190">
        <v>45447</v>
      </c>
      <c r="G97" s="190" t="s">
        <v>182</v>
      </c>
      <c r="H97" s="16"/>
      <c r="I97" s="43">
        <v>0</v>
      </c>
      <c r="J97" s="23"/>
      <c r="K97" s="23" t="s">
        <v>61</v>
      </c>
      <c r="L97" s="206" t="s">
        <v>419</v>
      </c>
      <c r="M97" s="42" t="s">
        <v>420</v>
      </c>
      <c r="N97" s="42" t="s">
        <v>112</v>
      </c>
      <c r="O97" s="36"/>
      <c r="P97" s="26"/>
      <c r="Q97" s="304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0"/>
      <c r="AC97" s="20"/>
      <c r="AD97" s="272"/>
      <c r="AE97" s="23"/>
      <c r="AF97" s="194"/>
      <c r="AG97" s="194"/>
      <c r="AH97" s="194"/>
      <c r="AI97" s="18"/>
      <c r="AJ97" s="18"/>
      <c r="AK97" s="257"/>
      <c r="AL97" s="17" t="s">
        <v>759</v>
      </c>
      <c r="AM97" s="194"/>
      <c r="AN97" s="16"/>
      <c r="AO97" s="16"/>
    </row>
    <row r="98" spans="1:41" ht="19.5" customHeight="1" x14ac:dyDescent="0.35">
      <c r="A98" s="240">
        <v>1597</v>
      </c>
      <c r="B98" s="37"/>
      <c r="C98" s="241"/>
      <c r="D98" s="251" t="s">
        <v>760</v>
      </c>
      <c r="E98" s="242"/>
      <c r="F98" s="243"/>
      <c r="G98" s="243"/>
      <c r="H98" s="37" t="s">
        <v>646</v>
      </c>
      <c r="I98" s="244">
        <v>0</v>
      </c>
      <c r="J98" s="245" t="s">
        <v>691</v>
      </c>
      <c r="K98" s="245"/>
      <c r="L98" s="277" t="s">
        <v>586</v>
      </c>
      <c r="M98" s="306">
        <v>314968164</v>
      </c>
      <c r="N98" s="306" t="s">
        <v>587</v>
      </c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285"/>
      <c r="AB98" s="197"/>
      <c r="AC98" s="24"/>
      <c r="AD98" s="254"/>
      <c r="AE98" s="255"/>
      <c r="AF98" s="33"/>
      <c r="AG98" s="176"/>
      <c r="AH98" s="176"/>
      <c r="AI98" s="24"/>
      <c r="AJ98" s="24"/>
      <c r="AK98" s="24"/>
      <c r="AL98" s="247"/>
      <c r="AM98" s="18"/>
      <c r="AN98" s="16"/>
      <c r="AO98" s="16"/>
    </row>
    <row r="99" spans="1:41" ht="18.75" customHeight="1" x14ac:dyDescent="0.35">
      <c r="A99" s="313">
        <v>1598</v>
      </c>
      <c r="B99" s="319"/>
      <c r="C99" s="315"/>
      <c r="D99" s="389"/>
      <c r="E99" s="317" t="s">
        <v>614</v>
      </c>
      <c r="F99" s="318"/>
      <c r="G99" s="335" t="s">
        <v>182</v>
      </c>
      <c r="H99" s="319" t="s">
        <v>646</v>
      </c>
      <c r="I99" s="320">
        <v>1</v>
      </c>
      <c r="J99" s="321">
        <v>45470</v>
      </c>
      <c r="K99" s="321"/>
      <c r="L99" s="337" t="s">
        <v>573</v>
      </c>
      <c r="M99" s="337" t="s">
        <v>574</v>
      </c>
      <c r="N99" s="337" t="s">
        <v>112</v>
      </c>
      <c r="O99" s="319" t="s">
        <v>576</v>
      </c>
      <c r="P99" s="319" t="s">
        <v>577</v>
      </c>
      <c r="Q99" s="333" t="s">
        <v>112</v>
      </c>
      <c r="R99" s="319"/>
      <c r="S99" s="319"/>
      <c r="T99" s="319"/>
      <c r="U99" s="319"/>
      <c r="V99" s="372"/>
      <c r="W99" s="372"/>
      <c r="X99" s="372"/>
      <c r="Y99" s="372"/>
      <c r="Z99" s="372"/>
      <c r="AA99" s="16"/>
      <c r="AB99" s="23"/>
      <c r="AC99" s="23"/>
      <c r="AD99" s="32"/>
      <c r="AE99" s="39"/>
      <c r="AF99" s="33"/>
      <c r="AG99" s="177"/>
      <c r="AH99" s="177"/>
      <c r="AI99" s="19" t="s">
        <v>738</v>
      </c>
      <c r="AJ99" s="19"/>
      <c r="AK99" s="19"/>
      <c r="AL99" s="177"/>
      <c r="AM99" s="246"/>
      <c r="AN99" s="246"/>
      <c r="AO99" s="16"/>
    </row>
    <row r="100" spans="1:41" ht="18.75" customHeight="1" x14ac:dyDescent="0.35">
      <c r="A100" s="313">
        <v>1600</v>
      </c>
      <c r="B100" s="319"/>
      <c r="C100" s="315"/>
      <c r="D100" s="373"/>
      <c r="E100" s="317" t="s">
        <v>614</v>
      </c>
      <c r="F100" s="318"/>
      <c r="G100" s="318"/>
      <c r="H100" s="319" t="s">
        <v>49</v>
      </c>
      <c r="I100" s="320">
        <v>1</v>
      </c>
      <c r="J100" s="321">
        <v>45471</v>
      </c>
      <c r="K100" s="321"/>
      <c r="L100" s="322" t="s">
        <v>422</v>
      </c>
      <c r="M100" s="327" t="s">
        <v>423</v>
      </c>
      <c r="N100" s="327" t="s">
        <v>424</v>
      </c>
      <c r="O100" s="319"/>
      <c r="P100" s="319"/>
      <c r="Q100" s="333"/>
      <c r="R100" s="392"/>
      <c r="S100" s="319"/>
      <c r="T100" s="319"/>
      <c r="U100" s="319"/>
      <c r="V100" s="372"/>
      <c r="W100" s="372"/>
      <c r="X100" s="372"/>
      <c r="Y100" s="372"/>
      <c r="Z100" s="372"/>
      <c r="AA100" s="16"/>
      <c r="AB100" s="23"/>
      <c r="AC100" s="23"/>
      <c r="AD100" s="32"/>
      <c r="AE100" s="39"/>
      <c r="AF100" s="33"/>
      <c r="AG100" s="177"/>
      <c r="AH100" s="177"/>
      <c r="AI100" s="19"/>
      <c r="AJ100" s="19"/>
      <c r="AK100" s="19"/>
      <c r="AL100" s="177"/>
      <c r="AM100" s="246"/>
      <c r="AN100" s="246"/>
      <c r="AO100" s="16"/>
    </row>
    <row r="101" spans="1:41" ht="18.75" customHeight="1" x14ac:dyDescent="0.35">
      <c r="A101" s="313">
        <v>1618</v>
      </c>
      <c r="B101" s="319"/>
      <c r="C101" s="315"/>
      <c r="D101" s="314"/>
      <c r="E101" s="317" t="s">
        <v>614</v>
      </c>
      <c r="F101" s="317"/>
      <c r="G101" s="335" t="s">
        <v>182</v>
      </c>
      <c r="H101" s="319"/>
      <c r="I101" s="320">
        <v>1</v>
      </c>
      <c r="J101" s="321">
        <v>45443</v>
      </c>
      <c r="K101" s="321"/>
      <c r="L101" s="322" t="s">
        <v>434</v>
      </c>
      <c r="M101" s="337" t="s">
        <v>435</v>
      </c>
      <c r="N101" s="337" t="s">
        <v>436</v>
      </c>
      <c r="O101" s="319"/>
      <c r="P101" s="319"/>
      <c r="Q101" s="333"/>
      <c r="R101" s="319"/>
      <c r="S101" s="319"/>
      <c r="T101" s="319"/>
      <c r="U101" s="319"/>
      <c r="V101" s="372"/>
      <c r="W101" s="372"/>
      <c r="X101" s="372"/>
      <c r="Y101" s="372"/>
      <c r="Z101" s="372"/>
      <c r="AA101" s="16"/>
      <c r="AB101" s="23"/>
      <c r="AC101" s="20" t="s">
        <v>761</v>
      </c>
      <c r="AD101" s="32"/>
      <c r="AE101" s="39"/>
      <c r="AF101" s="33"/>
      <c r="AG101" s="177"/>
      <c r="AH101" s="177"/>
      <c r="AI101" s="19" t="s">
        <v>73</v>
      </c>
      <c r="AJ101" s="310">
        <v>500</v>
      </c>
      <c r="AK101" s="19" t="s">
        <v>762</v>
      </c>
      <c r="AL101" s="177"/>
      <c r="AM101" s="246"/>
      <c r="AN101" s="246"/>
      <c r="AO101" s="16">
        <v>500</v>
      </c>
    </row>
    <row r="102" spans="1:41" ht="18.75" customHeight="1" x14ac:dyDescent="0.35">
      <c r="A102" s="313">
        <v>1620</v>
      </c>
      <c r="B102" s="319"/>
      <c r="C102" s="315"/>
      <c r="D102" s="373"/>
      <c r="E102" s="317"/>
      <c r="F102" s="317"/>
      <c r="G102" s="335" t="s">
        <v>182</v>
      </c>
      <c r="H102" s="319" t="s">
        <v>49</v>
      </c>
      <c r="I102" s="320">
        <v>1</v>
      </c>
      <c r="J102" s="321">
        <v>45468</v>
      </c>
      <c r="K102" s="321"/>
      <c r="L102" s="322" t="s">
        <v>438</v>
      </c>
      <c r="M102" s="327" t="s">
        <v>440</v>
      </c>
      <c r="N102" s="327" t="s">
        <v>441</v>
      </c>
      <c r="O102" s="369" t="s">
        <v>443</v>
      </c>
      <c r="P102" s="369" t="s">
        <v>444</v>
      </c>
      <c r="Q102" s="333"/>
      <c r="R102" s="319"/>
      <c r="S102" s="319"/>
      <c r="T102" s="319"/>
      <c r="U102" s="319"/>
      <c r="V102" s="372"/>
      <c r="W102" s="372"/>
      <c r="X102" s="372"/>
      <c r="Y102" s="372"/>
      <c r="Z102" s="372"/>
      <c r="AA102" s="16"/>
      <c r="AB102" s="23"/>
      <c r="AC102" s="23"/>
      <c r="AD102" s="32"/>
      <c r="AE102" s="39"/>
      <c r="AF102" s="33"/>
      <c r="AG102" s="177"/>
      <c r="AH102" s="177"/>
      <c r="AI102" s="19" t="s">
        <v>763</v>
      </c>
      <c r="AJ102" s="19"/>
      <c r="AK102" s="19"/>
      <c r="AL102" s="177"/>
      <c r="AM102" s="246"/>
      <c r="AN102" s="246"/>
      <c r="AO102" s="16"/>
    </row>
    <row r="103" spans="1:41" ht="18.75" customHeight="1" x14ac:dyDescent="0.35">
      <c r="A103" s="313">
        <v>1625</v>
      </c>
      <c r="B103" s="319"/>
      <c r="C103" s="315"/>
      <c r="D103" s="314"/>
      <c r="E103" s="317" t="s">
        <v>614</v>
      </c>
      <c r="F103" s="317"/>
      <c r="G103" s="393"/>
      <c r="H103" s="319" t="s">
        <v>49</v>
      </c>
      <c r="I103" s="320">
        <v>1</v>
      </c>
      <c r="J103" s="321">
        <v>45418</v>
      </c>
      <c r="K103" s="321"/>
      <c r="L103" s="337" t="s">
        <v>764</v>
      </c>
      <c r="M103" s="337" t="s">
        <v>765</v>
      </c>
      <c r="N103" s="337" t="s">
        <v>766</v>
      </c>
      <c r="O103" s="319" t="s">
        <v>767</v>
      </c>
      <c r="P103" s="369" t="s">
        <v>768</v>
      </c>
      <c r="Q103" s="333" t="s">
        <v>769</v>
      </c>
      <c r="R103" s="326"/>
      <c r="S103" s="326"/>
      <c r="T103" s="326"/>
      <c r="U103" s="326"/>
      <c r="V103" s="326"/>
      <c r="W103" s="326"/>
      <c r="X103" s="326" t="s">
        <v>182</v>
      </c>
      <c r="Y103" s="326" t="s">
        <v>182</v>
      </c>
      <c r="Z103" s="326"/>
      <c r="AA103" s="27"/>
      <c r="AB103" s="20"/>
      <c r="AC103" s="20" t="s">
        <v>770</v>
      </c>
      <c r="AD103" s="252"/>
      <c r="AE103" s="176"/>
      <c r="AF103" s="253"/>
      <c r="AG103" s="177"/>
      <c r="AH103" s="177"/>
      <c r="AI103" s="19" t="s">
        <v>73</v>
      </c>
      <c r="AJ103" s="19"/>
      <c r="AK103" s="19" t="s">
        <v>73</v>
      </c>
      <c r="AL103" s="177"/>
      <c r="AM103" s="246"/>
      <c r="AN103" s="246"/>
      <c r="AO103" s="16"/>
    </row>
    <row r="104" spans="1:41" ht="18.75" customHeight="1" x14ac:dyDescent="0.35">
      <c r="A104" s="313">
        <v>1626</v>
      </c>
      <c r="B104" s="319"/>
      <c r="C104" s="315"/>
      <c r="D104" s="373"/>
      <c r="E104" s="317" t="s">
        <v>614</v>
      </c>
      <c r="F104" s="318"/>
      <c r="G104" s="335" t="s">
        <v>182</v>
      </c>
      <c r="H104" s="319" t="s">
        <v>615</v>
      </c>
      <c r="I104" s="320">
        <v>1</v>
      </c>
      <c r="J104" s="321">
        <v>45470</v>
      </c>
      <c r="K104" s="321"/>
      <c r="L104" s="337" t="s">
        <v>445</v>
      </c>
      <c r="M104" s="323" t="s">
        <v>446</v>
      </c>
      <c r="N104" s="323" t="s">
        <v>447</v>
      </c>
      <c r="O104" s="340" t="s">
        <v>449</v>
      </c>
      <c r="P104" s="340" t="s">
        <v>450</v>
      </c>
      <c r="Q104" s="333" t="s">
        <v>451</v>
      </c>
      <c r="R104" s="319"/>
      <c r="S104" s="319"/>
      <c r="T104" s="319"/>
      <c r="U104" s="319"/>
      <c r="V104" s="372"/>
      <c r="W104" s="372"/>
      <c r="X104" s="372"/>
      <c r="Y104" s="372"/>
      <c r="Z104" s="372"/>
      <c r="AA104" s="16"/>
      <c r="AB104" s="23"/>
      <c r="AC104" s="23"/>
      <c r="AD104" s="32"/>
      <c r="AE104" s="39"/>
      <c r="AF104" s="33"/>
      <c r="AG104" s="177"/>
      <c r="AH104" s="177"/>
      <c r="AI104" s="19"/>
      <c r="AJ104" s="19"/>
      <c r="AK104" s="19"/>
      <c r="AL104" s="177"/>
      <c r="AM104" s="246"/>
      <c r="AN104" s="246"/>
      <c r="AO104" s="16">
        <v>850</v>
      </c>
    </row>
    <row r="105" spans="1:41" ht="18.75" customHeight="1" x14ac:dyDescent="0.35">
      <c r="A105" s="313">
        <v>1627</v>
      </c>
      <c r="B105" s="319"/>
      <c r="C105" s="315"/>
      <c r="D105" s="314"/>
      <c r="E105" s="317" t="s">
        <v>614</v>
      </c>
      <c r="F105" s="318"/>
      <c r="G105" s="335" t="s">
        <v>182</v>
      </c>
      <c r="H105" s="319" t="s">
        <v>657</v>
      </c>
      <c r="I105" s="320">
        <v>1</v>
      </c>
      <c r="J105" s="321">
        <v>45470</v>
      </c>
      <c r="K105" s="321"/>
      <c r="L105" s="337" t="s">
        <v>452</v>
      </c>
      <c r="M105" s="323" t="s">
        <v>453</v>
      </c>
      <c r="N105" s="323" t="s">
        <v>454</v>
      </c>
      <c r="O105" s="324" t="s">
        <v>456</v>
      </c>
      <c r="P105" s="319">
        <v>305518534</v>
      </c>
      <c r="Q105" s="333" t="s">
        <v>771</v>
      </c>
      <c r="R105" s="326"/>
      <c r="S105" s="326"/>
      <c r="T105" s="326"/>
      <c r="U105" s="326"/>
      <c r="V105" s="326"/>
      <c r="W105" s="326"/>
      <c r="X105" s="326"/>
      <c r="Y105" s="326"/>
      <c r="Z105" s="326"/>
      <c r="AA105" s="27"/>
      <c r="AB105" s="20"/>
      <c r="AC105" s="20"/>
      <c r="AD105" s="252"/>
      <c r="AE105" s="176"/>
      <c r="AF105" s="253"/>
      <c r="AG105" s="177"/>
      <c r="AH105" s="177"/>
      <c r="AI105" s="19" t="s">
        <v>73</v>
      </c>
      <c r="AJ105" s="310">
        <v>850</v>
      </c>
      <c r="AK105" s="19" t="s">
        <v>772</v>
      </c>
      <c r="AL105" s="177"/>
      <c r="AM105" s="246"/>
      <c r="AN105" s="246"/>
      <c r="AO105" s="16"/>
    </row>
    <row r="106" spans="1:41" ht="18.75" customHeight="1" x14ac:dyDescent="0.35">
      <c r="A106" s="313">
        <v>1638</v>
      </c>
      <c r="B106" s="319"/>
      <c r="C106" s="315"/>
      <c r="D106" s="314"/>
      <c r="E106" s="317" t="s">
        <v>614</v>
      </c>
      <c r="F106" s="318"/>
      <c r="G106" s="335" t="s">
        <v>182</v>
      </c>
      <c r="H106" s="319" t="s">
        <v>49</v>
      </c>
      <c r="I106" s="320">
        <v>1</v>
      </c>
      <c r="J106" s="394">
        <v>45450</v>
      </c>
      <c r="K106" s="394"/>
      <c r="L106" s="337" t="s">
        <v>773</v>
      </c>
      <c r="M106" s="327" t="s">
        <v>774</v>
      </c>
      <c r="N106" s="322" t="s">
        <v>775</v>
      </c>
      <c r="O106" s="324"/>
      <c r="P106" s="369"/>
      <c r="Q106" s="333"/>
      <c r="R106" s="326"/>
      <c r="S106" s="326"/>
      <c r="T106" s="319" t="s">
        <v>51</v>
      </c>
      <c r="U106" s="326"/>
      <c r="V106" s="326"/>
      <c r="W106" s="326"/>
      <c r="X106" s="326"/>
      <c r="Y106" s="326"/>
      <c r="Z106" s="326"/>
      <c r="AA106" s="27"/>
      <c r="AB106" s="20"/>
      <c r="AC106" s="20"/>
      <c r="AD106" s="252"/>
      <c r="AE106" s="176"/>
      <c r="AF106" s="253"/>
      <c r="AG106" s="177"/>
      <c r="AH106" s="177"/>
      <c r="AI106" s="19" t="s">
        <v>73</v>
      </c>
      <c r="AJ106" s="310">
        <v>300</v>
      </c>
      <c r="AK106" s="19" t="s">
        <v>776</v>
      </c>
      <c r="AL106" s="177"/>
      <c r="AM106" s="246"/>
      <c r="AN106" s="246"/>
      <c r="AO106" s="16">
        <v>300</v>
      </c>
    </row>
    <row r="107" spans="1:41" ht="19.5" customHeight="1" x14ac:dyDescent="0.35">
      <c r="A107" s="313">
        <v>1639</v>
      </c>
      <c r="B107" s="348"/>
      <c r="C107" s="349"/>
      <c r="D107" s="350"/>
      <c r="E107" s="317" t="s">
        <v>614</v>
      </c>
      <c r="F107" s="351"/>
      <c r="G107" s="395" t="s">
        <v>182</v>
      </c>
      <c r="H107" s="352" t="s">
        <v>615</v>
      </c>
      <c r="I107" s="320">
        <v>1</v>
      </c>
      <c r="J107" s="350"/>
      <c r="K107" s="350"/>
      <c r="L107" s="337" t="s">
        <v>777</v>
      </c>
      <c r="M107" s="333">
        <v>322026229</v>
      </c>
      <c r="N107" s="333" t="s">
        <v>778</v>
      </c>
      <c r="O107" s="348"/>
      <c r="P107" s="348"/>
      <c r="Q107" s="333"/>
      <c r="R107" s="348"/>
      <c r="S107" s="349"/>
      <c r="T107" s="349"/>
      <c r="U107" s="349"/>
      <c r="V107" s="349"/>
      <c r="W107" s="349"/>
      <c r="X107" s="349"/>
      <c r="Y107" s="349"/>
      <c r="Z107" s="349"/>
      <c r="AA107" s="233"/>
      <c r="AB107" s="233"/>
      <c r="AC107" s="233"/>
      <c r="AD107" s="233"/>
      <c r="AE107" s="233"/>
      <c r="AF107" s="233"/>
      <c r="AG107" s="233"/>
      <c r="AH107" s="233"/>
      <c r="AI107" s="19" t="s">
        <v>73</v>
      </c>
      <c r="AJ107" s="310">
        <v>400</v>
      </c>
      <c r="AK107" s="294" t="s">
        <v>743</v>
      </c>
      <c r="AL107" s="233"/>
      <c r="AM107" s="233"/>
      <c r="AN107" s="233"/>
      <c r="AO107" s="233"/>
    </row>
    <row r="108" spans="1:41" ht="19.5" customHeight="1" x14ac:dyDescent="0.35">
      <c r="A108" s="396"/>
      <c r="B108" s="348"/>
      <c r="C108" s="349"/>
      <c r="D108" s="350"/>
      <c r="E108" s="349"/>
      <c r="F108" s="351"/>
      <c r="G108" s="351"/>
      <c r="H108" s="319" t="s">
        <v>49</v>
      </c>
      <c r="I108" s="320">
        <v>1</v>
      </c>
      <c r="J108" s="350"/>
      <c r="K108" s="321"/>
      <c r="L108" s="337" t="s">
        <v>503</v>
      </c>
      <c r="M108" s="333">
        <v>179755021</v>
      </c>
      <c r="N108" s="333" t="s">
        <v>504</v>
      </c>
      <c r="O108" s="348"/>
      <c r="P108" s="333">
        <v>213620154</v>
      </c>
      <c r="Q108" s="333" t="s">
        <v>506</v>
      </c>
      <c r="R108" s="397"/>
      <c r="S108" s="349"/>
      <c r="T108" s="349"/>
      <c r="U108" s="349"/>
      <c r="V108" s="349"/>
      <c r="W108" s="349"/>
      <c r="X108" s="349"/>
      <c r="Y108" s="349"/>
      <c r="Z108" s="349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</row>
    <row r="109" spans="1:41" ht="19.5" customHeight="1" x14ac:dyDescent="0.35">
      <c r="A109" s="2">
        <v>1616</v>
      </c>
      <c r="B109" s="15"/>
      <c r="C109" s="233"/>
      <c r="D109" s="312" t="s">
        <v>779</v>
      </c>
      <c r="E109" s="233"/>
      <c r="F109" s="234"/>
      <c r="G109" s="234"/>
      <c r="H109" s="16" t="s">
        <v>49</v>
      </c>
      <c r="I109" s="43">
        <v>0.99</v>
      </c>
      <c r="J109" s="238"/>
      <c r="K109" s="238"/>
      <c r="L109" s="398" t="s">
        <v>431</v>
      </c>
      <c r="M109" s="304"/>
      <c r="N109" s="304"/>
      <c r="O109" s="15"/>
      <c r="P109" s="15"/>
      <c r="Q109" s="304"/>
      <c r="R109" s="311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</row>
  </sheetData>
  <autoFilter ref="A1:AF109" xr:uid="{00000000-0009-0000-0000-000002000000}"/>
  <conditionalFormatting sqref="H11:I11 I4:I10 I12 I15:I18 I20:I21 I23:I27 I29:I33 I75:I77">
    <cfRule type="dataBar" priority="290">
      <dataBar>
        <cfvo type="min"/>
        <cfvo type="max"/>
        <color rgb="FF92D050"/>
      </dataBar>
    </cfRule>
  </conditionalFormatting>
  <conditionalFormatting sqref="I2">
    <cfRule type="dataBar" priority="51">
      <dataBar>
        <cfvo type="min"/>
        <cfvo type="max"/>
        <color rgb="FF92D050"/>
      </dataBar>
    </cfRule>
  </conditionalFormatting>
  <conditionalFormatting sqref="I3">
    <cfRule type="dataBar" priority="36">
      <dataBar>
        <cfvo type="min"/>
        <cfvo type="max"/>
        <color rgb="FF92D050"/>
      </dataBar>
    </cfRule>
  </conditionalFormatting>
  <conditionalFormatting sqref="I13">
    <cfRule type="dataBar" priority="20">
      <dataBar>
        <cfvo type="min"/>
        <cfvo type="max"/>
        <color rgb="FF92D050"/>
      </dataBar>
    </cfRule>
  </conditionalFormatting>
  <conditionalFormatting sqref="I14">
    <cfRule type="dataBar" priority="13">
      <dataBar>
        <cfvo type="min"/>
        <cfvo type="max"/>
        <color rgb="FF92D050"/>
      </dataBar>
    </cfRule>
  </conditionalFormatting>
  <conditionalFormatting sqref="I22">
    <cfRule type="dataBar" priority="280">
      <dataBar>
        <cfvo type="min"/>
        <cfvo type="max"/>
        <color rgb="FF92D050"/>
      </dataBar>
    </cfRule>
  </conditionalFormatting>
  <conditionalFormatting sqref="I28 I19">
    <cfRule type="dataBar" priority="61">
      <dataBar>
        <cfvo type="min"/>
        <cfvo type="max"/>
        <color rgb="FF92D050"/>
      </dataBar>
    </cfRule>
  </conditionalFormatting>
  <conditionalFormatting sqref="I34">
    <cfRule type="dataBar" priority="58">
      <dataBar>
        <cfvo type="min"/>
        <cfvo type="max"/>
        <color rgb="FF92D050"/>
      </dataBar>
    </cfRule>
  </conditionalFormatting>
  <conditionalFormatting sqref="I35:I38">
    <cfRule type="dataBar" priority="75">
      <dataBar>
        <cfvo type="min"/>
        <cfvo type="max"/>
        <color rgb="FF92D050"/>
      </dataBar>
    </cfRule>
  </conditionalFormatting>
  <conditionalFormatting sqref="I39">
    <cfRule type="dataBar" priority="68">
      <dataBar>
        <cfvo type="min"/>
        <cfvo type="max"/>
        <color rgb="FF92D050"/>
      </dataBar>
    </cfRule>
  </conditionalFormatting>
  <conditionalFormatting sqref="I41">
    <cfRule type="dataBar" priority="262">
      <dataBar>
        <cfvo type="min"/>
        <cfvo type="max"/>
        <color rgb="FF92D050"/>
      </dataBar>
    </cfRule>
  </conditionalFormatting>
  <conditionalFormatting sqref="I42 I40">
    <cfRule type="dataBar" priority="160">
      <dataBar>
        <cfvo type="min"/>
        <cfvo type="max"/>
        <color rgb="FF92D050"/>
      </dataBar>
    </cfRule>
  </conditionalFormatting>
  <conditionalFormatting sqref="I43">
    <cfRule type="dataBar" priority="85">
      <dataBar>
        <cfvo type="min"/>
        <cfvo type="max"/>
        <color rgb="FF92D050"/>
      </dataBar>
    </cfRule>
  </conditionalFormatting>
  <conditionalFormatting sqref="I44">
    <cfRule type="dataBar" priority="53">
      <dataBar>
        <cfvo type="min"/>
        <cfvo type="max"/>
        <color rgb="FF92D050"/>
      </dataBar>
    </cfRule>
  </conditionalFormatting>
  <conditionalFormatting sqref="I46">
    <cfRule type="dataBar" priority="48">
      <dataBar>
        <cfvo type="min"/>
        <cfvo type="max"/>
        <color rgb="FF92D050"/>
      </dataBar>
    </cfRule>
  </conditionalFormatting>
  <conditionalFormatting sqref="I47">
    <cfRule type="dataBar" priority="47">
      <dataBar>
        <cfvo type="min"/>
        <cfvo type="max"/>
        <color rgb="FF92D050"/>
      </dataBar>
    </cfRule>
  </conditionalFormatting>
  <conditionalFormatting sqref="I48">
    <cfRule type="dataBar" priority="69">
      <dataBar>
        <cfvo type="min"/>
        <cfvo type="max"/>
        <color rgb="FF92D050"/>
      </dataBar>
    </cfRule>
  </conditionalFormatting>
  <conditionalFormatting sqref="I49">
    <cfRule type="dataBar" priority="11">
      <dataBar>
        <cfvo type="min"/>
        <cfvo type="max"/>
        <color rgb="FF92D050"/>
      </dataBar>
    </cfRule>
  </conditionalFormatting>
  <conditionalFormatting sqref="I50:I51 I59:I61 K59">
    <cfRule type="dataBar" priority="63">
      <dataBar>
        <cfvo type="min"/>
        <cfvo type="max"/>
        <color rgb="FF92D050"/>
      </dataBar>
    </cfRule>
  </conditionalFormatting>
  <conditionalFormatting sqref="I52">
    <cfRule type="dataBar" priority="281">
      <dataBar>
        <cfvo type="min"/>
        <cfvo type="max"/>
        <color rgb="FF92D050"/>
      </dataBar>
    </cfRule>
  </conditionalFormatting>
  <conditionalFormatting sqref="I53 K53">
    <cfRule type="dataBar" priority="7">
      <dataBar>
        <cfvo type="min"/>
        <cfvo type="max"/>
        <color rgb="FF92D050"/>
      </dataBar>
    </cfRule>
  </conditionalFormatting>
  <conditionalFormatting sqref="I54">
    <cfRule type="dataBar" priority="19">
      <dataBar>
        <cfvo type="min"/>
        <cfvo type="max"/>
        <color rgb="FF92D050"/>
      </dataBar>
    </cfRule>
  </conditionalFormatting>
  <conditionalFormatting sqref="I55">
    <cfRule type="dataBar" priority="50">
      <dataBar>
        <cfvo type="min"/>
        <cfvo type="max"/>
        <color rgb="FF92D050"/>
      </dataBar>
    </cfRule>
  </conditionalFormatting>
  <conditionalFormatting sqref="I56">
    <cfRule type="dataBar" priority="59">
      <dataBar>
        <cfvo type="min"/>
        <cfvo type="max"/>
        <color rgb="FF92D050"/>
      </dataBar>
    </cfRule>
  </conditionalFormatting>
  <conditionalFormatting sqref="I57 K57">
    <cfRule type="dataBar" priority="87">
      <dataBar>
        <cfvo type="min"/>
        <cfvo type="max"/>
        <color rgb="FF92D050"/>
      </dataBar>
    </cfRule>
  </conditionalFormatting>
  <conditionalFormatting sqref="I62">
    <cfRule type="dataBar" priority="45">
      <dataBar>
        <cfvo type="min"/>
        <cfvo type="max"/>
        <color rgb="FF92D050"/>
      </dataBar>
    </cfRule>
  </conditionalFormatting>
  <conditionalFormatting sqref="I63">
    <cfRule type="dataBar" priority="30">
      <dataBar>
        <cfvo type="min"/>
        <cfvo type="max"/>
        <color rgb="FF92D050"/>
      </dataBar>
    </cfRule>
  </conditionalFormatting>
  <conditionalFormatting sqref="I65:I66 I68:I69 I72:I74 I82 I87 I90:I97 I99:I103 I105">
    <cfRule type="dataBar" priority="234">
      <dataBar>
        <cfvo type="min"/>
        <cfvo type="max"/>
        <color rgb="FF92D050"/>
      </dataBar>
    </cfRule>
  </conditionalFormatting>
  <conditionalFormatting sqref="I67">
    <cfRule type="dataBar" priority="1">
      <dataBar>
        <cfvo type="min"/>
        <cfvo type="max"/>
        <color rgb="FF92D050"/>
      </dataBar>
    </cfRule>
  </conditionalFormatting>
  <conditionalFormatting sqref="I70">
    <cfRule type="dataBar" priority="86">
      <dataBar>
        <cfvo type="min"/>
        <cfvo type="max"/>
        <color rgb="FF92D050"/>
      </dataBar>
    </cfRule>
  </conditionalFormatting>
  <conditionalFormatting sqref="I71">
    <cfRule type="dataBar" priority="29">
      <dataBar>
        <cfvo type="min"/>
        <cfvo type="max"/>
        <color rgb="FF92D050"/>
      </dataBar>
    </cfRule>
  </conditionalFormatting>
  <conditionalFormatting sqref="I78">
    <cfRule type="dataBar" priority="24">
      <dataBar>
        <cfvo type="min"/>
        <cfvo type="max"/>
        <color rgb="FF92D050"/>
      </dataBar>
    </cfRule>
  </conditionalFormatting>
  <conditionalFormatting sqref="I79">
    <cfRule type="dataBar" priority="16">
      <dataBar>
        <cfvo type="min"/>
        <cfvo type="max"/>
        <color rgb="FF92D050"/>
      </dataBar>
    </cfRule>
  </conditionalFormatting>
  <conditionalFormatting sqref="I80:I81">
    <cfRule type="dataBar" priority="274">
      <dataBar>
        <cfvo type="min"/>
        <cfvo type="max"/>
        <color rgb="FF92D050"/>
      </dataBar>
    </cfRule>
  </conditionalFormatting>
  <conditionalFormatting sqref="I83:I84">
    <cfRule type="dataBar" priority="41">
      <dataBar>
        <cfvo type="min"/>
        <cfvo type="max"/>
        <color rgb="FF92D050"/>
      </dataBar>
    </cfRule>
  </conditionalFormatting>
  <conditionalFormatting sqref="I85">
    <cfRule type="dataBar" priority="28">
      <dataBar>
        <cfvo type="min"/>
        <cfvo type="max"/>
        <color rgb="FF92D050"/>
      </dataBar>
    </cfRule>
  </conditionalFormatting>
  <conditionalFormatting sqref="I86">
    <cfRule type="dataBar" priority="275">
      <dataBar>
        <cfvo type="min"/>
        <cfvo type="max"/>
        <color rgb="FF92D050"/>
      </dataBar>
    </cfRule>
  </conditionalFormatting>
  <conditionalFormatting sqref="I88:I89">
    <cfRule type="dataBar" priority="43">
      <dataBar>
        <cfvo type="min"/>
        <cfvo type="max"/>
        <color rgb="FF92D050"/>
      </dataBar>
    </cfRule>
  </conditionalFormatting>
  <conditionalFormatting sqref="I104">
    <cfRule type="dataBar" priority="38">
      <dataBar>
        <cfvo type="min"/>
        <cfvo type="max"/>
        <color rgb="FF92D050"/>
      </dataBar>
    </cfRule>
  </conditionalFormatting>
  <conditionalFormatting sqref="I106">
    <cfRule type="dataBar" priority="22">
      <dataBar>
        <cfvo type="min"/>
        <cfvo type="max"/>
        <color rgb="FF92D050"/>
      </dataBar>
    </cfRule>
  </conditionalFormatting>
  <conditionalFormatting sqref="I107:I108">
    <cfRule type="dataBar" priority="10">
      <dataBar>
        <cfvo type="min"/>
        <cfvo type="max"/>
        <color rgb="FF92D050"/>
      </dataBar>
    </cfRule>
  </conditionalFormatting>
  <conditionalFormatting sqref="I109">
    <cfRule type="dataBar" priority="277">
      <dataBar>
        <cfvo type="min"/>
        <cfvo type="max"/>
        <color rgb="FF92D050"/>
      </dataBar>
    </cfRule>
  </conditionalFormatting>
  <conditionalFormatting sqref="I45:K45">
    <cfRule type="dataBar" priority="15">
      <dataBar>
        <cfvo type="min"/>
        <cfvo type="max"/>
        <color rgb="FF92D050"/>
      </dataBar>
    </cfRule>
  </conditionalFormatting>
  <conditionalFormatting sqref="I58:K58">
    <cfRule type="dataBar" priority="9">
      <dataBar>
        <cfvo type="min"/>
        <cfvo type="max"/>
        <color rgb="FF92D050"/>
      </dataBar>
    </cfRule>
  </conditionalFormatting>
  <conditionalFormatting sqref="I98:K98">
    <cfRule type="dataBar" priority="5">
      <dataBar>
        <cfvo type="min"/>
        <cfvo type="max"/>
        <color rgb="FF92D050"/>
      </dataBar>
    </cfRule>
  </conditionalFormatting>
  <conditionalFormatting sqref="J53">
    <cfRule type="dataBar" priority="6">
      <dataBar>
        <cfvo type="min"/>
        <cfvo type="max"/>
        <color rgb="FF92D050"/>
      </dataBar>
    </cfRule>
  </conditionalFormatting>
  <conditionalFormatting sqref="J106:K106 I64">
    <cfRule type="dataBar" priority="276">
      <dataBar>
        <cfvo type="min"/>
        <cfvo type="max"/>
        <color rgb="FF92D050"/>
      </dataBar>
    </cfRule>
  </conditionalFormatting>
  <hyperlinks>
    <hyperlink ref="N57" r:id="rId1" xr:uid="{00000000-0004-0000-0200-000000000000}"/>
    <hyperlink ref="N58" r:id="rId2" xr:uid="{00000000-0004-0000-0200-000001000000}"/>
    <hyperlink ref="N66" r:id="rId3" xr:uid="{00000000-0004-0000-0200-000002000000}"/>
    <hyperlink ref="N67" r:id="rId4" xr:uid="{00000000-0004-0000-0200-000003000000}"/>
    <hyperlink ref="N77" r:id="rId5" xr:uid="{00000000-0004-0000-0200-000004000000}"/>
    <hyperlink ref="N80" r:id="rId6" xr:uid="{00000000-0004-0000-0200-000005000000}"/>
    <hyperlink ref="N81" r:id="rId7" xr:uid="{00000000-0004-0000-0200-000006000000}"/>
    <hyperlink ref="N83" r:id="rId8" xr:uid="{00000000-0004-0000-0200-000007000000}"/>
    <hyperlink ref="N84" r:id="rId9" xr:uid="{00000000-0004-0000-0200-000008000000}"/>
    <hyperlink ref="P84" r:id="rId10" xr:uid="{00000000-0004-0000-0200-000009000000}"/>
    <hyperlink ref="N85" r:id="rId11" xr:uid="{00000000-0004-0000-0200-00000A000000}"/>
    <hyperlink ref="N86" r:id="rId12" xr:uid="{00000000-0004-0000-0200-00000B000000}"/>
    <hyperlink ref="N88" r:id="rId13" xr:uid="{00000000-0004-0000-0200-00000C000000}"/>
    <hyperlink ref="N89" r:id="rId14" xr:uid="{00000000-0004-0000-0200-00000D000000}"/>
    <hyperlink ref="N90" r:id="rId15" xr:uid="{00000000-0004-0000-0200-00000E000000}"/>
    <hyperlink ref="P91" r:id="rId16" xr:uid="{00000000-0004-0000-0200-00000F000000}"/>
    <hyperlink ref="N92" r:id="rId17" xr:uid="{00000000-0004-0000-0200-000010000000}"/>
    <hyperlink ref="N93" r:id="rId18" xr:uid="{00000000-0004-0000-0200-000011000000}"/>
    <hyperlink ref="N97" r:id="rId19" xr:uid="{00000000-0004-0000-0200-000012000000}"/>
    <hyperlink ref="N99" r:id="rId20" xr:uid="{00000000-0004-0000-0200-000013000000}"/>
    <hyperlink ref="Q99" r:id="rId21" xr:uid="{00000000-0004-0000-0200-000014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203"/>
  <sheetViews>
    <sheetView zoomScaleNormal="100" workbookViewId="0">
      <pane ySplit="1" topLeftCell="A64" activePane="bottomLeft" state="frozen"/>
      <selection pane="bottomLeft" activeCell="H75" sqref="H75"/>
    </sheetView>
  </sheetViews>
  <sheetFormatPr defaultColWidth="9.453125" defaultRowHeight="31.5" customHeight="1" x14ac:dyDescent="0.35"/>
  <cols>
    <col min="1" max="1" width="14.54296875" style="11" customWidth="1"/>
    <col min="2" max="2" width="15.453125" style="59" customWidth="1"/>
    <col min="3" max="3" width="14.453125" style="11" customWidth="1"/>
    <col min="4" max="4" width="11.453125" style="4" customWidth="1"/>
    <col min="5" max="5" width="15" style="4" customWidth="1"/>
    <col min="6" max="6" width="26.453125" style="11" customWidth="1"/>
    <col min="7" max="7" width="20" style="4" customWidth="1"/>
    <col min="8" max="8" width="50.54296875" style="56" customWidth="1"/>
    <col min="9" max="9" width="26.453125" style="4" customWidth="1"/>
    <col min="10" max="10" width="21.54296875" style="4" bestFit="1" customWidth="1"/>
    <col min="11" max="11" width="31.453125" style="4" customWidth="1"/>
    <col min="12" max="12" width="17.54296875" style="4" customWidth="1"/>
    <col min="13" max="13" width="22.453125" style="4" customWidth="1"/>
    <col min="14" max="14" width="8.54296875" style="4" customWidth="1"/>
    <col min="15" max="19" width="17.54296875" style="4" customWidth="1"/>
    <col min="20" max="20" width="24.453125" style="8" customWidth="1"/>
    <col min="21" max="21" width="17.453125" style="6" customWidth="1"/>
    <col min="22" max="22" width="21.54296875" style="6" customWidth="1"/>
    <col min="23" max="23" width="14.54296875" style="6" customWidth="1"/>
    <col min="24" max="24" width="19.453125" style="62" customWidth="1"/>
    <col min="25" max="25" width="18" style="63" customWidth="1"/>
    <col min="26" max="26" width="21.453125" style="40" bestFit="1" customWidth="1"/>
    <col min="27" max="27" width="24.54296875" style="9" hidden="1" customWidth="1"/>
    <col min="28" max="28" width="20.453125" style="9" hidden="1" customWidth="1"/>
    <col min="29" max="29" width="17.453125" style="4" customWidth="1"/>
    <col min="30" max="30" width="14.453125" style="8" customWidth="1"/>
    <col min="31" max="31" width="38.453125" style="93" customWidth="1"/>
    <col min="32" max="32" width="47.54296875" style="5" customWidth="1"/>
    <col min="33" max="33" width="20.453125" style="4" bestFit="1" customWidth="1"/>
    <col min="34" max="34" width="6.54296875" style="4" customWidth="1"/>
    <col min="35" max="35" width="20.54296875" style="4" customWidth="1"/>
    <col min="36" max="36" width="14.54296875" style="6" customWidth="1"/>
    <col min="37" max="37" width="23.54296875" style="4" customWidth="1"/>
    <col min="38" max="38" width="34.453125" style="4" customWidth="1"/>
    <col min="39" max="39" width="52.453125" style="4" customWidth="1"/>
    <col min="40" max="40" width="36.453125" style="40" customWidth="1"/>
    <col min="41" max="41" width="9.453125" style="4" customWidth="1"/>
    <col min="42" max="16384" width="9.453125" style="4"/>
  </cols>
  <sheetData>
    <row r="1" spans="1:40" ht="31.5" customHeight="1" x14ac:dyDescent="0.35">
      <c r="A1" s="47" t="s">
        <v>590</v>
      </c>
      <c r="B1" s="48" t="s">
        <v>591</v>
      </c>
      <c r="C1" s="47" t="s">
        <v>592</v>
      </c>
      <c r="D1" s="47" t="s">
        <v>594</v>
      </c>
      <c r="E1" s="47" t="s">
        <v>9</v>
      </c>
      <c r="F1" s="49" t="s">
        <v>10</v>
      </c>
      <c r="G1" s="48" t="s">
        <v>12</v>
      </c>
      <c r="H1" s="50" t="s">
        <v>596</v>
      </c>
      <c r="I1" s="11" t="s">
        <v>5</v>
      </c>
      <c r="J1" s="11" t="s">
        <v>6</v>
      </c>
      <c r="K1" s="11" t="s">
        <v>15</v>
      </c>
      <c r="L1" s="11" t="s">
        <v>5</v>
      </c>
      <c r="M1" s="11" t="s">
        <v>6</v>
      </c>
      <c r="N1" s="11" t="s">
        <v>25</v>
      </c>
      <c r="O1" s="11" t="s">
        <v>780</v>
      </c>
      <c r="P1" s="11" t="s">
        <v>600</v>
      </c>
      <c r="Q1" s="11" t="s">
        <v>601</v>
      </c>
      <c r="R1" s="11" t="s">
        <v>602</v>
      </c>
      <c r="S1" s="11" t="s">
        <v>20</v>
      </c>
      <c r="T1" s="9" t="s">
        <v>13</v>
      </c>
      <c r="U1" s="51" t="s">
        <v>14</v>
      </c>
      <c r="V1" s="51" t="s">
        <v>781</v>
      </c>
      <c r="W1" s="51" t="s">
        <v>21</v>
      </c>
      <c r="X1" s="52" t="s">
        <v>604</v>
      </c>
      <c r="Y1" s="53" t="s">
        <v>605</v>
      </c>
      <c r="Z1" s="54" t="s">
        <v>606</v>
      </c>
      <c r="AA1" s="7"/>
      <c r="AB1" s="7" t="s">
        <v>782</v>
      </c>
      <c r="AC1" s="11" t="s">
        <v>38</v>
      </c>
      <c r="AD1" s="11" t="s">
        <v>41</v>
      </c>
      <c r="AE1" s="7" t="s">
        <v>28</v>
      </c>
      <c r="AF1" s="13" t="s">
        <v>608</v>
      </c>
      <c r="AG1" s="13" t="s">
        <v>609</v>
      </c>
      <c r="AI1" s="13" t="s">
        <v>29</v>
      </c>
      <c r="AJ1" s="53" t="s">
        <v>30</v>
      </c>
      <c r="AK1" s="7" t="s">
        <v>610</v>
      </c>
      <c r="AL1" s="13" t="s">
        <v>611</v>
      </c>
      <c r="AM1" s="13" t="s">
        <v>612</v>
      </c>
      <c r="AN1" s="10" t="s">
        <v>613</v>
      </c>
    </row>
    <row r="2" spans="1:40" ht="16.5" customHeight="1" x14ac:dyDescent="0.35">
      <c r="A2" s="55">
        <v>1317</v>
      </c>
      <c r="B2" s="48"/>
      <c r="C2" s="47"/>
      <c r="D2" s="47"/>
      <c r="E2" s="47"/>
      <c r="F2" s="49"/>
      <c r="G2" s="48"/>
      <c r="H2" s="56" t="s">
        <v>176</v>
      </c>
      <c r="I2" s="4" t="s">
        <v>177</v>
      </c>
      <c r="J2" s="4" t="s">
        <v>178</v>
      </c>
      <c r="K2" s="4" t="s">
        <v>180</v>
      </c>
      <c r="L2" s="4">
        <v>305645005</v>
      </c>
      <c r="M2" s="4" t="s">
        <v>181</v>
      </c>
      <c r="N2" s="11"/>
      <c r="O2" s="11"/>
      <c r="P2" s="11"/>
      <c r="Q2" s="11"/>
      <c r="R2" s="11" t="s">
        <v>182</v>
      </c>
      <c r="S2" s="11" t="s">
        <v>182</v>
      </c>
      <c r="T2" s="9"/>
      <c r="U2" s="51"/>
      <c r="V2" s="51"/>
      <c r="W2" s="51"/>
      <c r="X2" s="52"/>
      <c r="Y2" s="53"/>
      <c r="Z2" s="54"/>
      <c r="AA2" s="7"/>
      <c r="AB2" s="7"/>
      <c r="AC2" s="11"/>
      <c r="AD2" s="11"/>
      <c r="AE2" s="7"/>
      <c r="AF2" s="13"/>
      <c r="AG2" s="13"/>
      <c r="AI2" s="13"/>
      <c r="AJ2" s="53"/>
      <c r="AK2" s="7"/>
      <c r="AL2" s="13"/>
      <c r="AM2" s="13"/>
      <c r="AN2" s="10"/>
    </row>
    <row r="3" spans="1:40" ht="16.5" customHeight="1" x14ac:dyDescent="0.35">
      <c r="A3" s="55">
        <v>1319</v>
      </c>
      <c r="B3" s="48"/>
      <c r="C3" s="47"/>
      <c r="D3" s="57" t="s">
        <v>614</v>
      </c>
      <c r="E3" s="47" t="s">
        <v>646</v>
      </c>
      <c r="F3" s="45">
        <v>1</v>
      </c>
      <c r="G3" s="58">
        <v>45408</v>
      </c>
      <c r="H3" s="56" t="s">
        <v>184</v>
      </c>
      <c r="I3" s="4" t="s">
        <v>186</v>
      </c>
      <c r="J3" s="4" t="s">
        <v>659</v>
      </c>
      <c r="K3" s="4" t="s">
        <v>189</v>
      </c>
      <c r="L3" s="4" t="s">
        <v>190</v>
      </c>
      <c r="M3" s="4" t="s">
        <v>191</v>
      </c>
      <c r="N3" s="11"/>
      <c r="O3" s="11"/>
      <c r="P3" s="11"/>
      <c r="Q3" s="11"/>
      <c r="R3" s="11" t="s">
        <v>182</v>
      </c>
      <c r="S3" s="11" t="s">
        <v>182</v>
      </c>
      <c r="T3" s="9"/>
      <c r="U3" s="51"/>
      <c r="V3" s="51"/>
      <c r="W3" s="51"/>
      <c r="X3" s="52"/>
      <c r="Y3" s="53"/>
      <c r="Z3" s="54"/>
      <c r="AA3" s="7"/>
      <c r="AB3" s="7"/>
      <c r="AC3" s="11"/>
      <c r="AD3" s="11"/>
      <c r="AE3" s="7"/>
      <c r="AF3" s="13"/>
      <c r="AG3" s="13"/>
      <c r="AI3" s="13"/>
      <c r="AJ3" s="53"/>
      <c r="AK3" s="7"/>
      <c r="AL3" s="13"/>
      <c r="AM3" s="13"/>
      <c r="AN3" s="10"/>
    </row>
    <row r="4" spans="1:40" ht="16.5" customHeight="1" x14ac:dyDescent="0.35">
      <c r="A4" s="55">
        <v>1463</v>
      </c>
      <c r="B4" s="48"/>
      <c r="C4" s="47"/>
      <c r="D4" s="57" t="s">
        <v>614</v>
      </c>
      <c r="E4" s="47" t="s">
        <v>49</v>
      </c>
      <c r="F4" s="45">
        <v>1</v>
      </c>
      <c r="G4" s="48" t="s">
        <v>73</v>
      </c>
      <c r="H4" s="56" t="s">
        <v>286</v>
      </c>
      <c r="I4" s="4" t="s">
        <v>287</v>
      </c>
      <c r="J4" s="4" t="s">
        <v>288</v>
      </c>
      <c r="M4" s="11"/>
      <c r="N4" s="11"/>
      <c r="O4" s="11"/>
      <c r="P4" s="11"/>
      <c r="Q4" s="11"/>
      <c r="R4" s="11"/>
      <c r="S4" s="11"/>
      <c r="T4" s="9"/>
      <c r="U4" s="51"/>
      <c r="V4" s="51"/>
      <c r="W4" s="51"/>
      <c r="X4" s="52"/>
      <c r="Y4" s="53"/>
      <c r="Z4" s="54"/>
      <c r="AA4" s="7"/>
      <c r="AB4" s="7"/>
      <c r="AC4" s="11" t="s">
        <v>73</v>
      </c>
      <c r="AD4" s="11" t="s">
        <v>73</v>
      </c>
      <c r="AE4" s="7"/>
      <c r="AF4" s="13"/>
      <c r="AG4" s="13"/>
      <c r="AI4" s="13"/>
      <c r="AJ4" s="53"/>
      <c r="AK4" s="7"/>
      <c r="AL4" s="13"/>
      <c r="AM4" s="13"/>
      <c r="AN4" s="10"/>
    </row>
    <row r="5" spans="1:40" ht="16.5" customHeight="1" x14ac:dyDescent="0.35">
      <c r="A5" s="55">
        <v>1423</v>
      </c>
      <c r="B5" s="48"/>
      <c r="C5" s="47"/>
      <c r="D5" s="57" t="s">
        <v>614</v>
      </c>
      <c r="E5" s="47" t="s">
        <v>49</v>
      </c>
      <c r="F5" s="49"/>
      <c r="G5" s="48"/>
      <c r="H5" s="56" t="s">
        <v>271</v>
      </c>
      <c r="I5" s="4" t="s">
        <v>272</v>
      </c>
      <c r="J5" s="4" t="s">
        <v>273</v>
      </c>
      <c r="K5" s="11"/>
      <c r="L5" s="11"/>
      <c r="M5" s="11"/>
      <c r="N5" s="11"/>
      <c r="O5" s="11"/>
      <c r="P5" s="11"/>
      <c r="Q5" s="11"/>
      <c r="R5" s="11"/>
      <c r="S5" s="11"/>
      <c r="T5" s="9"/>
      <c r="U5" s="51"/>
      <c r="V5" s="51"/>
      <c r="W5" s="51"/>
      <c r="X5" s="52"/>
      <c r="Y5" s="53"/>
      <c r="Z5" s="54"/>
      <c r="AA5" s="7"/>
      <c r="AB5" s="7"/>
      <c r="AC5" s="11"/>
      <c r="AD5" s="11"/>
      <c r="AE5" s="7"/>
      <c r="AF5" s="13"/>
      <c r="AG5" s="13"/>
      <c r="AI5" s="13"/>
      <c r="AJ5" s="53"/>
      <c r="AK5" s="7"/>
      <c r="AL5" s="13"/>
      <c r="AM5" s="13"/>
      <c r="AN5" s="10"/>
    </row>
    <row r="6" spans="1:40" ht="16.5" customHeight="1" x14ac:dyDescent="0.35">
      <c r="A6" s="55">
        <v>1424</v>
      </c>
      <c r="C6" s="60"/>
      <c r="D6" s="57" t="s">
        <v>614</v>
      </c>
      <c r="F6" s="45"/>
      <c r="G6" s="46"/>
      <c r="H6" s="61" t="s">
        <v>689</v>
      </c>
      <c r="I6" s="4">
        <v>305122215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4"/>
      <c r="AA6" s="64"/>
      <c r="AB6" s="64"/>
      <c r="AC6" s="12"/>
      <c r="AD6" s="64"/>
      <c r="AE6" s="65"/>
      <c r="AF6" s="13"/>
      <c r="AI6" s="13"/>
      <c r="AJ6" s="53"/>
      <c r="AK6" s="13"/>
      <c r="AL6" s="13"/>
      <c r="AM6" s="64"/>
      <c r="AN6" s="54"/>
    </row>
    <row r="7" spans="1:40" ht="16.5" customHeight="1" x14ac:dyDescent="0.35">
      <c r="A7" s="55">
        <v>1472</v>
      </c>
      <c r="C7" s="60"/>
      <c r="D7" s="57" t="s">
        <v>614</v>
      </c>
      <c r="E7" s="4" t="s">
        <v>49</v>
      </c>
      <c r="F7" s="45">
        <v>0.1</v>
      </c>
      <c r="G7" s="46"/>
      <c r="H7" s="61" t="s">
        <v>305</v>
      </c>
      <c r="I7" s="4" t="s">
        <v>306</v>
      </c>
      <c r="J7" s="12" t="s">
        <v>307</v>
      </c>
      <c r="K7" s="12"/>
      <c r="L7" s="12"/>
      <c r="M7" s="12"/>
      <c r="N7" s="12"/>
      <c r="O7" s="12" t="s">
        <v>51</v>
      </c>
      <c r="P7" s="12"/>
      <c r="Q7" s="12"/>
      <c r="R7" s="12"/>
      <c r="S7" s="12"/>
      <c r="T7" s="4"/>
      <c r="AA7" s="64"/>
      <c r="AB7" s="64"/>
      <c r="AC7" s="12"/>
      <c r="AD7" s="64"/>
      <c r="AE7" s="65"/>
      <c r="AF7" s="13"/>
      <c r="AI7" s="13"/>
      <c r="AJ7" s="53"/>
      <c r="AK7" s="13"/>
      <c r="AL7" s="13"/>
      <c r="AM7" s="64"/>
      <c r="AN7" s="54"/>
    </row>
    <row r="8" spans="1:40" ht="16.5" customHeight="1" x14ac:dyDescent="0.35">
      <c r="A8" s="55">
        <v>1562</v>
      </c>
      <c r="C8" s="60"/>
      <c r="D8" s="57"/>
      <c r="F8" s="45"/>
      <c r="G8" s="46"/>
      <c r="H8" s="61" t="s">
        <v>390</v>
      </c>
      <c r="I8" s="4">
        <v>298479354</v>
      </c>
      <c r="J8" s="12" t="s">
        <v>391</v>
      </c>
      <c r="K8" s="12"/>
      <c r="L8" s="12"/>
      <c r="M8" s="12"/>
      <c r="N8" s="12"/>
      <c r="O8" s="12"/>
      <c r="P8" s="12"/>
      <c r="Q8" s="12"/>
      <c r="R8" s="12"/>
      <c r="S8" s="12"/>
      <c r="T8" s="4"/>
      <c r="AA8" s="64"/>
      <c r="AB8" s="64"/>
      <c r="AC8" s="12"/>
      <c r="AD8" s="64"/>
      <c r="AE8" s="65"/>
      <c r="AF8" s="13"/>
      <c r="AI8" s="13"/>
      <c r="AJ8" s="53"/>
      <c r="AK8" s="13"/>
      <c r="AL8" s="13"/>
      <c r="AM8" s="64"/>
      <c r="AN8" s="54"/>
    </row>
    <row r="9" spans="1:40" ht="16.5" customHeight="1" x14ac:dyDescent="0.35">
      <c r="A9" s="55">
        <v>1582</v>
      </c>
      <c r="C9" s="60"/>
      <c r="D9" s="57"/>
      <c r="F9" s="45"/>
      <c r="G9" s="46"/>
      <c r="H9" s="61" t="s">
        <v>783</v>
      </c>
      <c r="I9" s="4" t="s">
        <v>750</v>
      </c>
      <c r="J9" s="12" t="s">
        <v>112</v>
      </c>
      <c r="K9" s="12"/>
      <c r="L9" s="12"/>
      <c r="M9" s="12"/>
      <c r="N9" s="12"/>
      <c r="O9" s="12"/>
      <c r="P9" s="12"/>
      <c r="Q9" s="12"/>
      <c r="R9" s="12"/>
      <c r="S9" s="12"/>
      <c r="T9" s="4"/>
      <c r="AA9" s="64"/>
      <c r="AB9" s="64"/>
      <c r="AC9" s="12"/>
      <c r="AD9" s="64"/>
      <c r="AE9" s="65"/>
      <c r="AF9" s="13"/>
      <c r="AI9" s="13"/>
      <c r="AJ9" s="53"/>
      <c r="AK9" s="13"/>
      <c r="AL9" s="13"/>
      <c r="AM9" s="64"/>
      <c r="AN9" s="54"/>
    </row>
    <row r="10" spans="1:40" ht="16.5" customHeight="1" x14ac:dyDescent="0.35">
      <c r="A10" s="55">
        <v>1598</v>
      </c>
      <c r="C10" s="60"/>
      <c r="D10" s="57"/>
      <c r="F10" s="45"/>
      <c r="G10" s="46"/>
      <c r="H10" s="61" t="s">
        <v>573</v>
      </c>
      <c r="I10" s="4" t="s">
        <v>574</v>
      </c>
      <c r="J10" s="4" t="s">
        <v>112</v>
      </c>
      <c r="K10" s="4" t="s">
        <v>576</v>
      </c>
      <c r="L10" s="4" t="s">
        <v>577</v>
      </c>
      <c r="M10" s="4" t="s">
        <v>112</v>
      </c>
      <c r="P10" s="12"/>
      <c r="Q10" s="12"/>
      <c r="R10" s="12"/>
      <c r="S10" s="12"/>
      <c r="T10" s="4"/>
      <c r="AA10" s="64"/>
      <c r="AB10" s="64"/>
      <c r="AC10" s="12"/>
      <c r="AD10" s="64"/>
      <c r="AE10" s="65"/>
      <c r="AF10" s="13"/>
      <c r="AI10" s="13"/>
      <c r="AJ10" s="53"/>
      <c r="AK10" s="13"/>
      <c r="AL10" s="13"/>
      <c r="AM10" s="64"/>
      <c r="AN10" s="54"/>
    </row>
    <row r="11" spans="1:40" ht="39" customHeight="1" x14ac:dyDescent="0.35">
      <c r="A11" s="55">
        <v>1627</v>
      </c>
      <c r="C11" s="60"/>
      <c r="D11" s="57" t="s">
        <v>614</v>
      </c>
      <c r="F11" s="45"/>
      <c r="G11" s="46"/>
      <c r="H11" s="56" t="s">
        <v>452</v>
      </c>
      <c r="I11" s="4" t="s">
        <v>453</v>
      </c>
      <c r="J11" s="5" t="s">
        <v>784</v>
      </c>
      <c r="K11" s="5" t="s">
        <v>456</v>
      </c>
      <c r="L11" s="4">
        <v>305518534</v>
      </c>
      <c r="M11" s="5" t="s">
        <v>785</v>
      </c>
      <c r="N11" s="11"/>
      <c r="O11" s="11"/>
      <c r="P11" s="11"/>
      <c r="Q11" s="11"/>
      <c r="R11" s="11"/>
      <c r="S11" s="11"/>
      <c r="T11" s="9"/>
      <c r="U11" s="51"/>
      <c r="V11" s="51"/>
      <c r="W11" s="51"/>
      <c r="X11" s="52"/>
      <c r="Y11" s="53"/>
      <c r="Z11" s="54"/>
      <c r="AA11" s="7"/>
      <c r="AB11" s="7"/>
      <c r="AC11" s="11"/>
      <c r="AD11" s="11"/>
      <c r="AE11" s="7"/>
      <c r="AF11" s="13"/>
      <c r="AG11" s="13"/>
      <c r="AI11" s="13"/>
      <c r="AJ11" s="53"/>
      <c r="AK11" s="7"/>
      <c r="AL11" s="13"/>
      <c r="AM11" s="13"/>
      <c r="AN11" s="10"/>
    </row>
    <row r="12" spans="1:40" ht="15.5" customHeight="1" x14ac:dyDescent="0.35">
      <c r="A12" s="55">
        <v>1625</v>
      </c>
      <c r="C12" s="60"/>
      <c r="D12" s="57" t="s">
        <v>614</v>
      </c>
      <c r="E12" s="4" t="s">
        <v>49</v>
      </c>
      <c r="F12" s="45">
        <v>1</v>
      </c>
      <c r="G12" s="58">
        <v>45418</v>
      </c>
      <c r="H12" s="56" t="s">
        <v>764</v>
      </c>
      <c r="I12" s="4" t="s">
        <v>765</v>
      </c>
      <c r="J12" s="4" t="s">
        <v>766</v>
      </c>
      <c r="K12" s="4" t="s">
        <v>767</v>
      </c>
      <c r="L12" s="66" t="s">
        <v>768</v>
      </c>
      <c r="M12" s="66" t="s">
        <v>769</v>
      </c>
      <c r="N12" s="11"/>
      <c r="O12" s="11"/>
      <c r="P12" s="11"/>
      <c r="Q12" s="11"/>
      <c r="R12" s="11" t="s">
        <v>182</v>
      </c>
      <c r="S12" s="11" t="s">
        <v>182</v>
      </c>
      <c r="T12" s="9"/>
      <c r="U12" s="51"/>
      <c r="V12" s="51"/>
      <c r="W12" s="51"/>
      <c r="X12" s="52"/>
      <c r="Y12" s="53"/>
      <c r="Z12" s="54"/>
      <c r="AA12" s="7"/>
      <c r="AB12" s="7"/>
      <c r="AC12" s="11"/>
      <c r="AD12" s="11"/>
      <c r="AE12" s="7"/>
      <c r="AF12" s="13"/>
      <c r="AG12" s="13"/>
      <c r="AI12" s="13"/>
      <c r="AJ12" s="53"/>
      <c r="AK12" s="7"/>
      <c r="AL12" s="13"/>
      <c r="AM12" s="13"/>
      <c r="AN12" s="10"/>
    </row>
    <row r="13" spans="1:40" ht="15.5" customHeight="1" x14ac:dyDescent="0.35">
      <c r="A13" s="55"/>
      <c r="C13" s="60"/>
      <c r="D13" s="57"/>
      <c r="F13" s="45"/>
      <c r="G13" s="46"/>
      <c r="I13" s="66"/>
      <c r="J13" s="66"/>
      <c r="K13" s="5"/>
      <c r="L13" s="66"/>
      <c r="M13" s="66"/>
      <c r="N13" s="11"/>
      <c r="O13" s="11"/>
      <c r="P13" s="11"/>
      <c r="Q13" s="11"/>
      <c r="R13" s="11"/>
      <c r="S13" s="11"/>
      <c r="T13" s="9"/>
      <c r="U13" s="51"/>
      <c r="V13" s="51"/>
      <c r="W13" s="51"/>
      <c r="X13" s="52"/>
      <c r="Y13" s="53"/>
      <c r="Z13" s="54"/>
      <c r="AA13" s="7"/>
      <c r="AB13" s="7"/>
      <c r="AC13" s="11"/>
      <c r="AD13" s="11"/>
      <c r="AE13" s="7"/>
      <c r="AF13" s="13"/>
      <c r="AG13" s="13"/>
      <c r="AI13" s="13"/>
      <c r="AJ13" s="53"/>
      <c r="AK13" s="7"/>
      <c r="AL13" s="13"/>
      <c r="AM13" s="13"/>
      <c r="AN13" s="10"/>
    </row>
    <row r="14" spans="1:40" ht="15.5" customHeight="1" x14ac:dyDescent="0.35">
      <c r="A14" s="55"/>
      <c r="C14" s="60"/>
      <c r="D14" s="57"/>
      <c r="F14" s="45"/>
      <c r="G14" s="46"/>
      <c r="J14" s="5"/>
      <c r="K14" s="5"/>
      <c r="L14" s="5"/>
      <c r="M14" s="12"/>
      <c r="N14" s="11"/>
      <c r="O14" s="11"/>
      <c r="P14" s="11"/>
      <c r="Q14" s="11"/>
      <c r="R14" s="11"/>
      <c r="S14" s="11"/>
      <c r="T14" s="9"/>
      <c r="U14" s="51"/>
      <c r="V14" s="51"/>
      <c r="W14" s="51"/>
      <c r="X14" s="52"/>
      <c r="Y14" s="53"/>
      <c r="Z14" s="54"/>
      <c r="AA14" s="7"/>
      <c r="AB14" s="7"/>
      <c r="AC14" s="11"/>
      <c r="AD14" s="11"/>
      <c r="AE14" s="7"/>
      <c r="AF14" s="13"/>
      <c r="AG14" s="13"/>
      <c r="AI14" s="13"/>
      <c r="AJ14" s="53"/>
      <c r="AK14" s="7"/>
      <c r="AL14" s="13"/>
      <c r="AM14" s="13"/>
      <c r="AN14" s="10"/>
    </row>
    <row r="15" spans="1:40" ht="31.5" customHeight="1" x14ac:dyDescent="0.35">
      <c r="A15" s="11">
        <v>1211</v>
      </c>
      <c r="B15" s="59">
        <v>2021</v>
      </c>
      <c r="C15" s="67" t="s">
        <v>617</v>
      </c>
      <c r="D15" s="5" t="s">
        <v>73</v>
      </c>
      <c r="F15" s="45">
        <v>0</v>
      </c>
      <c r="G15" s="46"/>
      <c r="H15" s="56" t="s">
        <v>101</v>
      </c>
      <c r="I15" s="68" t="s">
        <v>635</v>
      </c>
      <c r="J15" s="68" t="s">
        <v>102</v>
      </c>
      <c r="K15" s="69"/>
      <c r="L15" s="69"/>
      <c r="M15" s="68"/>
      <c r="N15" s="69"/>
      <c r="O15" s="69"/>
      <c r="P15" s="69"/>
      <c r="Q15" s="69"/>
      <c r="R15" s="69"/>
      <c r="S15" s="69"/>
      <c r="T15" s="70"/>
      <c r="U15" s="71"/>
      <c r="V15" s="63">
        <v>45098</v>
      </c>
      <c r="W15" s="63">
        <v>45099</v>
      </c>
      <c r="X15" s="72" t="s">
        <v>786</v>
      </c>
      <c r="Y15" s="73">
        <v>45138</v>
      </c>
      <c r="Z15" s="74">
        <v>0</v>
      </c>
      <c r="AA15" s="54"/>
      <c r="AB15" s="54"/>
      <c r="AC15" s="8" t="s">
        <v>73</v>
      </c>
      <c r="AD15" s="8" t="s">
        <v>73</v>
      </c>
      <c r="AE15" s="75" t="s">
        <v>787</v>
      </c>
      <c r="AF15" s="13"/>
      <c r="AH15" s="4">
        <v>400</v>
      </c>
      <c r="AI15" s="13" t="s">
        <v>591</v>
      </c>
      <c r="AJ15" s="53"/>
      <c r="AK15" s="13"/>
      <c r="AL15" s="13"/>
      <c r="AM15" s="5"/>
      <c r="AN15" s="10"/>
    </row>
    <row r="16" spans="1:40" ht="31.5" customHeight="1" x14ac:dyDescent="0.35">
      <c r="A16" s="11">
        <v>1298</v>
      </c>
      <c r="B16" s="59">
        <v>2021</v>
      </c>
      <c r="C16" s="67" t="s">
        <v>617</v>
      </c>
      <c r="D16" s="5" t="s">
        <v>73</v>
      </c>
      <c r="E16" s="4" t="s">
        <v>49</v>
      </c>
      <c r="F16" s="45">
        <v>0</v>
      </c>
      <c r="G16" s="46"/>
      <c r="H16" s="61" t="s">
        <v>156</v>
      </c>
      <c r="I16" s="4">
        <v>288699645</v>
      </c>
      <c r="J16" s="8" t="s">
        <v>157</v>
      </c>
      <c r="K16" s="8"/>
      <c r="L16" s="8"/>
      <c r="M16" s="8"/>
      <c r="N16" s="8"/>
      <c r="O16" s="8"/>
      <c r="P16" s="8"/>
      <c r="Q16" s="8"/>
      <c r="R16" s="8"/>
      <c r="S16" s="8"/>
      <c r="V16" s="6" t="s">
        <v>788</v>
      </c>
      <c r="W16" s="8" t="s">
        <v>789</v>
      </c>
      <c r="X16" s="72" t="s">
        <v>790</v>
      </c>
      <c r="Y16" s="73">
        <v>45138</v>
      </c>
      <c r="Z16" s="74">
        <v>0</v>
      </c>
      <c r="AA16" s="76"/>
      <c r="AB16" s="76"/>
      <c r="AC16" s="77">
        <v>45142</v>
      </c>
      <c r="AD16" s="77" t="s">
        <v>591</v>
      </c>
      <c r="AE16" s="78" t="s">
        <v>791</v>
      </c>
      <c r="AF16" s="13"/>
      <c r="AH16" s="4">
        <v>400</v>
      </c>
      <c r="AI16" s="78"/>
      <c r="AJ16" s="79"/>
      <c r="AK16" s="78"/>
      <c r="AL16" s="78"/>
      <c r="AM16" s="78"/>
      <c r="AN16" s="80"/>
    </row>
    <row r="17" spans="1:38 16384:16384" ht="31.5" customHeight="1" x14ac:dyDescent="0.35">
      <c r="A17" s="11">
        <v>1471</v>
      </c>
      <c r="D17" s="4" t="s">
        <v>73</v>
      </c>
      <c r="F17" s="45">
        <v>0</v>
      </c>
      <c r="G17" s="12" t="s">
        <v>591</v>
      </c>
      <c r="H17" s="56" t="s">
        <v>792</v>
      </c>
      <c r="I17" s="68" t="s">
        <v>301</v>
      </c>
      <c r="J17" s="68" t="s">
        <v>302</v>
      </c>
      <c r="K17" s="68"/>
      <c r="L17" s="68"/>
      <c r="M17" s="68"/>
      <c r="N17" s="68"/>
      <c r="O17" s="68"/>
      <c r="P17" s="68"/>
      <c r="Q17" s="68"/>
      <c r="R17" s="68"/>
      <c r="S17" s="11"/>
      <c r="T17" s="9"/>
      <c r="U17" s="51"/>
      <c r="V17" s="51"/>
      <c r="W17" s="51"/>
      <c r="X17" s="52"/>
      <c r="Y17" s="53"/>
      <c r="Z17" s="54"/>
      <c r="AA17" s="7"/>
      <c r="AB17" s="7"/>
      <c r="AC17" s="11"/>
      <c r="AD17" s="11"/>
      <c r="AE17" s="7"/>
      <c r="AF17" s="13"/>
      <c r="AG17" s="13"/>
      <c r="AI17" s="13"/>
      <c r="AJ17" s="53"/>
      <c r="AK17" s="7"/>
      <c r="AL17" s="13"/>
    </row>
    <row r="18" spans="1:38 16384:16384" ht="31.5" customHeight="1" x14ac:dyDescent="0.35">
      <c r="A18" s="47"/>
      <c r="B18" s="48"/>
      <c r="C18" s="47"/>
      <c r="D18" s="47"/>
      <c r="E18" s="47"/>
      <c r="F18" s="45">
        <v>0</v>
      </c>
      <c r="G18" s="48" t="s">
        <v>591</v>
      </c>
      <c r="H18" s="61" t="s">
        <v>252</v>
      </c>
      <c r="I18" s="11">
        <v>304328391</v>
      </c>
      <c r="J18" s="11" t="s">
        <v>253</v>
      </c>
      <c r="K18" s="11"/>
      <c r="L18" s="11"/>
      <c r="M18" s="11"/>
      <c r="N18" s="11"/>
      <c r="O18" s="11"/>
      <c r="P18" s="11"/>
      <c r="Q18" s="11"/>
      <c r="R18" s="11"/>
      <c r="S18" s="11"/>
      <c r="T18" s="9"/>
      <c r="U18" s="51"/>
      <c r="V18" s="51"/>
      <c r="W18" s="51"/>
      <c r="X18" s="52"/>
      <c r="Y18" s="53"/>
      <c r="Z18" s="54"/>
      <c r="AA18" s="7"/>
      <c r="AB18" s="7"/>
      <c r="AC18" s="11"/>
      <c r="AD18" s="11"/>
      <c r="AE18" s="7"/>
      <c r="AF18" s="13"/>
      <c r="AG18" s="13"/>
      <c r="AI18" s="13"/>
      <c r="AJ18" s="53"/>
      <c r="AK18" s="7"/>
      <c r="AL18" s="13"/>
    </row>
    <row r="19" spans="1:38 16384:16384" ht="31.5" customHeight="1" x14ac:dyDescent="0.35">
      <c r="A19" s="47"/>
      <c r="B19" s="48"/>
      <c r="C19" s="47"/>
      <c r="D19" s="47"/>
      <c r="E19" s="47"/>
      <c r="F19" s="45">
        <v>0</v>
      </c>
      <c r="G19" s="48" t="s">
        <v>591</v>
      </c>
      <c r="H19" s="56" t="s">
        <v>176</v>
      </c>
      <c r="I19" s="11">
        <v>305645579</v>
      </c>
      <c r="J19" s="11" t="s">
        <v>178</v>
      </c>
      <c r="K19" s="11" t="s">
        <v>180</v>
      </c>
      <c r="L19" s="11" t="s">
        <v>181</v>
      </c>
      <c r="M19" s="11"/>
      <c r="N19" s="11"/>
      <c r="O19" s="11"/>
      <c r="P19" s="11"/>
      <c r="Q19" s="11"/>
      <c r="R19" s="11"/>
      <c r="S19" s="11"/>
      <c r="T19" s="9"/>
      <c r="U19" s="51"/>
      <c r="V19" s="51"/>
      <c r="W19" s="51"/>
      <c r="X19" s="52"/>
      <c r="Y19" s="53"/>
      <c r="Z19" s="54"/>
      <c r="AA19" s="7"/>
      <c r="AB19" s="7"/>
      <c r="AC19" s="11"/>
      <c r="AD19" s="11"/>
      <c r="AE19" s="7"/>
      <c r="AF19" s="13"/>
      <c r="AG19" s="13"/>
      <c r="AI19" s="13"/>
      <c r="AJ19" s="53"/>
      <c r="AK19" s="7"/>
      <c r="AL19" s="13"/>
    </row>
    <row r="20" spans="1:38 16384:16384" ht="31.5" customHeight="1" x14ac:dyDescent="0.35">
      <c r="A20" s="47"/>
      <c r="B20" s="48"/>
      <c r="C20" s="47"/>
      <c r="D20" s="47"/>
      <c r="E20" s="47"/>
      <c r="F20" s="49"/>
      <c r="G20" s="48"/>
      <c r="H20" s="5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9"/>
      <c r="U20" s="51"/>
      <c r="V20" s="51"/>
      <c r="W20" s="51"/>
      <c r="X20" s="52"/>
      <c r="Y20" s="53"/>
      <c r="Z20" s="54"/>
      <c r="AA20" s="7"/>
      <c r="AB20" s="7"/>
      <c r="AC20" s="11"/>
      <c r="AD20" s="11"/>
      <c r="AE20" s="7"/>
      <c r="AF20" s="13"/>
      <c r="AG20" s="13"/>
      <c r="AI20" s="13"/>
      <c r="AJ20" s="53"/>
      <c r="AK20" s="7"/>
      <c r="AL20" s="13"/>
    </row>
    <row r="21" spans="1:38 16384:16384" s="13" customFormat="1" ht="31.5" customHeight="1" x14ac:dyDescent="0.35">
      <c r="A21" s="748">
        <v>1101</v>
      </c>
      <c r="B21" s="5">
        <v>2021</v>
      </c>
      <c r="C21" s="67" t="s">
        <v>617</v>
      </c>
      <c r="D21" s="5" t="s">
        <v>793</v>
      </c>
      <c r="E21" s="4"/>
      <c r="F21" s="81">
        <v>0</v>
      </c>
      <c r="G21" s="82"/>
      <c r="H21" s="83" t="s">
        <v>794</v>
      </c>
      <c r="I21" s="5">
        <v>287965244</v>
      </c>
      <c r="J21" s="5" t="s">
        <v>795</v>
      </c>
      <c r="K21" s="5"/>
      <c r="L21" s="5"/>
      <c r="M21" s="5"/>
      <c r="N21" s="5"/>
      <c r="O21" s="5"/>
      <c r="P21" s="5"/>
      <c r="Q21" s="5"/>
      <c r="R21" s="5"/>
      <c r="S21" s="5"/>
      <c r="T21" s="84"/>
      <c r="U21" s="85"/>
      <c r="V21" s="63"/>
      <c r="W21" s="63"/>
      <c r="X21" s="62"/>
      <c r="Y21" s="63"/>
      <c r="Z21" s="74"/>
      <c r="AA21" s="63"/>
      <c r="AB21" s="54"/>
      <c r="AC21" s="5"/>
      <c r="AD21" s="86"/>
      <c r="AE21" s="5"/>
      <c r="AJ21" s="53"/>
    </row>
    <row r="22" spans="1:38 16384:16384" s="5" customFormat="1" ht="31.5" customHeight="1" x14ac:dyDescent="0.35">
      <c r="A22" s="747"/>
      <c r="B22" s="5">
        <v>2021</v>
      </c>
      <c r="C22" s="67" t="s">
        <v>617</v>
      </c>
      <c r="D22" s="5" t="s">
        <v>793</v>
      </c>
      <c r="E22" s="4"/>
      <c r="F22" s="45">
        <v>0</v>
      </c>
      <c r="G22" s="46"/>
      <c r="H22" s="83" t="s">
        <v>796</v>
      </c>
      <c r="I22" s="5">
        <v>288223276</v>
      </c>
      <c r="J22" s="5" t="s">
        <v>797</v>
      </c>
      <c r="T22" s="84"/>
      <c r="U22" s="85"/>
      <c r="V22" s="63"/>
      <c r="W22" s="63"/>
      <c r="X22" s="72"/>
      <c r="Y22" s="73"/>
      <c r="Z22" s="74"/>
      <c r="AA22" s="40"/>
      <c r="AB22" s="54"/>
      <c r="AD22" s="86"/>
      <c r="AE22" s="87"/>
      <c r="AF22" s="13"/>
      <c r="AI22" s="13"/>
      <c r="AJ22" s="53"/>
      <c r="AK22" s="13"/>
      <c r="AL22" s="13"/>
    </row>
    <row r="23" spans="1:38 16384:16384" ht="31.5" customHeight="1" x14ac:dyDescent="0.35">
      <c r="A23" s="11">
        <v>1141</v>
      </c>
      <c r="B23" s="59">
        <v>2021</v>
      </c>
      <c r="C23" s="67" t="s">
        <v>617</v>
      </c>
      <c r="D23" s="4" t="s">
        <v>73</v>
      </c>
      <c r="F23" s="45">
        <v>1</v>
      </c>
      <c r="G23" s="46" t="s">
        <v>73</v>
      </c>
      <c r="H23" s="61" t="s">
        <v>55</v>
      </c>
      <c r="I23" s="5">
        <v>295197811</v>
      </c>
      <c r="J23" s="5" t="s">
        <v>58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63"/>
      <c r="V23" s="63">
        <v>45097</v>
      </c>
      <c r="W23" s="63">
        <v>45097</v>
      </c>
      <c r="X23" s="72" t="s">
        <v>798</v>
      </c>
      <c r="Y23" s="73">
        <v>45138</v>
      </c>
      <c r="Z23" s="74">
        <v>0</v>
      </c>
      <c r="AA23" s="53"/>
      <c r="AB23" s="53"/>
      <c r="AC23" s="8" t="s">
        <v>799</v>
      </c>
      <c r="AD23" s="88" t="s">
        <v>591</v>
      </c>
      <c r="AE23" s="75" t="s">
        <v>800</v>
      </c>
      <c r="AF23" s="13"/>
      <c r="AH23" s="4">
        <v>400</v>
      </c>
      <c r="AI23" s="13" t="s">
        <v>591</v>
      </c>
      <c r="AJ23" s="53">
        <v>45138</v>
      </c>
      <c r="AK23" s="13"/>
      <c r="AL23" s="13"/>
    </row>
    <row r="24" spans="1:38 16384:16384" ht="31.5" customHeight="1" x14ac:dyDescent="0.35">
      <c r="A24" s="11">
        <v>1141</v>
      </c>
      <c r="B24" s="59">
        <v>2021</v>
      </c>
      <c r="C24" s="67" t="s">
        <v>617</v>
      </c>
      <c r="D24" s="4" t="s">
        <v>73</v>
      </c>
      <c r="F24" s="45">
        <v>1</v>
      </c>
      <c r="G24" s="46" t="s">
        <v>73</v>
      </c>
      <c r="H24" s="61" t="s">
        <v>801</v>
      </c>
      <c r="I24" s="5">
        <v>229370900</v>
      </c>
      <c r="J24" s="5" t="s">
        <v>63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63"/>
      <c r="V24" s="63">
        <v>45097</v>
      </c>
      <c r="W24" s="63"/>
      <c r="X24" s="72">
        <v>20235004893236</v>
      </c>
      <c r="Y24" s="73">
        <v>45138</v>
      </c>
      <c r="Z24" s="74">
        <v>21.25</v>
      </c>
      <c r="AA24" s="53"/>
      <c r="AB24" s="53"/>
      <c r="AC24" s="8" t="s">
        <v>799</v>
      </c>
      <c r="AD24" s="88" t="s">
        <v>591</v>
      </c>
      <c r="AE24" s="75" t="s">
        <v>800</v>
      </c>
      <c r="AF24" s="13"/>
      <c r="AH24" s="4">
        <v>200</v>
      </c>
      <c r="AI24" s="5" t="s">
        <v>591</v>
      </c>
      <c r="AJ24" s="63">
        <v>45138</v>
      </c>
      <c r="AK24" s="5"/>
      <c r="AL24" s="5"/>
    </row>
    <row r="25" spans="1:38 16384:16384" ht="31.5" customHeight="1" x14ac:dyDescent="0.35">
      <c r="A25" s="11">
        <v>1156</v>
      </c>
      <c r="B25" s="59">
        <v>2021</v>
      </c>
      <c r="C25" s="67" t="s">
        <v>617</v>
      </c>
      <c r="D25" s="4" t="s">
        <v>73</v>
      </c>
      <c r="F25" s="45">
        <v>0</v>
      </c>
      <c r="G25" s="46" t="s">
        <v>13</v>
      </c>
      <c r="H25" s="89" t="s">
        <v>65</v>
      </c>
      <c r="I25" s="4">
        <v>293090092</v>
      </c>
      <c r="J25" s="4" t="s">
        <v>622</v>
      </c>
      <c r="K25" s="4" t="s">
        <v>71</v>
      </c>
      <c r="L25" s="4">
        <v>293611513</v>
      </c>
      <c r="M25" s="4" t="s">
        <v>72</v>
      </c>
      <c r="T25" s="90" t="s">
        <v>51</v>
      </c>
      <c r="U25" s="91" t="s">
        <v>623</v>
      </c>
      <c r="V25" s="6">
        <v>45284</v>
      </c>
      <c r="W25" s="8"/>
      <c r="X25" s="72"/>
      <c r="Y25" s="73"/>
      <c r="AA25" s="53"/>
      <c r="AB25" s="53"/>
      <c r="AC25" s="8" t="s">
        <v>802</v>
      </c>
      <c r="AE25" s="92" t="s">
        <v>703</v>
      </c>
      <c r="AH25" s="4">
        <v>400</v>
      </c>
      <c r="AI25" s="13"/>
      <c r="AJ25" s="53"/>
      <c r="AK25" s="13"/>
      <c r="AL25" s="13"/>
    </row>
    <row r="26" spans="1:38 16384:16384" ht="31.5" customHeight="1" x14ac:dyDescent="0.35">
      <c r="A26" s="11">
        <v>1167</v>
      </c>
      <c r="B26" s="59">
        <v>2021</v>
      </c>
      <c r="C26" s="67" t="s">
        <v>617</v>
      </c>
      <c r="D26" s="4" t="s">
        <v>73</v>
      </c>
      <c r="F26" s="45">
        <v>1</v>
      </c>
      <c r="G26" s="46" t="s">
        <v>73</v>
      </c>
      <c r="H26" s="61" t="s">
        <v>75</v>
      </c>
      <c r="I26" s="5">
        <v>287599876</v>
      </c>
      <c r="J26" s="5" t="s">
        <v>76</v>
      </c>
      <c r="K26" s="5" t="s">
        <v>78</v>
      </c>
      <c r="L26" s="5"/>
      <c r="M26" s="5"/>
      <c r="N26" s="5"/>
      <c r="O26" s="5"/>
      <c r="P26" s="5"/>
      <c r="Q26" s="5"/>
      <c r="R26" s="5"/>
      <c r="S26" s="5"/>
      <c r="T26" s="5"/>
      <c r="U26" s="63"/>
      <c r="V26" s="63">
        <v>45082</v>
      </c>
      <c r="W26" s="63">
        <v>45082</v>
      </c>
      <c r="X26" s="72">
        <v>20235006064112</v>
      </c>
      <c r="Y26" s="73">
        <v>45138</v>
      </c>
      <c r="Z26" s="74">
        <v>0</v>
      </c>
      <c r="AA26" s="53"/>
      <c r="AB26" s="53"/>
      <c r="AC26" s="8" t="s">
        <v>803</v>
      </c>
      <c r="AD26" s="8" t="s">
        <v>803</v>
      </c>
      <c r="AE26" s="75" t="s">
        <v>800</v>
      </c>
      <c r="AF26" s="13"/>
      <c r="AI26" s="5" t="s">
        <v>591</v>
      </c>
      <c r="AJ26" s="63">
        <v>45138</v>
      </c>
      <c r="AK26" s="5"/>
      <c r="AL26" s="5"/>
      <c r="XFD26" s="4">
        <f>SUM(A26:XFC26)</f>
        <v>20235293847617</v>
      </c>
    </row>
    <row r="27" spans="1:38 16384:16384" ht="31.5" customHeight="1" x14ac:dyDescent="0.35">
      <c r="A27" s="11">
        <v>1173</v>
      </c>
      <c r="B27" s="59" t="s">
        <v>61</v>
      </c>
      <c r="C27" s="67" t="s">
        <v>617</v>
      </c>
      <c r="D27" s="4" t="s">
        <v>591</v>
      </c>
      <c r="F27" s="45">
        <v>0</v>
      </c>
      <c r="G27" s="46"/>
      <c r="H27" s="61" t="s">
        <v>804</v>
      </c>
      <c r="I27" s="93" t="e">
        <f>#REF!</f>
        <v>#REF!</v>
      </c>
      <c r="J27" s="93" t="e">
        <f>#REF!</f>
        <v>#REF!</v>
      </c>
      <c r="K27" s="5">
        <v>194951995</v>
      </c>
      <c r="L27" s="5" t="s">
        <v>79</v>
      </c>
      <c r="M27" s="93"/>
      <c r="N27" s="93"/>
      <c r="O27" s="93"/>
      <c r="P27" s="93"/>
      <c r="Q27" s="93"/>
      <c r="R27" s="93"/>
      <c r="S27" s="93"/>
      <c r="T27" s="84"/>
      <c r="U27" s="85"/>
      <c r="V27" s="63"/>
      <c r="W27" s="5"/>
      <c r="X27" s="72"/>
      <c r="Y27" s="73"/>
      <c r="Z27" s="74"/>
      <c r="AA27" s="13"/>
      <c r="AB27" s="13"/>
      <c r="AC27" s="8"/>
      <c r="AE27" s="90" t="s">
        <v>805</v>
      </c>
      <c r="AI27" s="13"/>
      <c r="AJ27" s="53"/>
      <c r="AK27" s="13"/>
      <c r="AL27" s="13"/>
    </row>
    <row r="28" spans="1:38 16384:16384" ht="31.5" customHeight="1" x14ac:dyDescent="0.35">
      <c r="A28" s="11">
        <v>1176</v>
      </c>
      <c r="B28" s="59">
        <v>2021</v>
      </c>
      <c r="C28" s="67" t="s">
        <v>617</v>
      </c>
      <c r="D28" s="4" t="s">
        <v>73</v>
      </c>
      <c r="F28" s="45">
        <v>1</v>
      </c>
      <c r="G28" s="46" t="s">
        <v>73</v>
      </c>
      <c r="H28" s="61" t="s">
        <v>80</v>
      </c>
      <c r="I28" s="5">
        <v>293341249</v>
      </c>
      <c r="J28" s="5" t="s">
        <v>82</v>
      </c>
      <c r="K28" s="5" t="s">
        <v>84</v>
      </c>
      <c r="L28" s="5">
        <v>293341478</v>
      </c>
      <c r="M28" s="5" t="s">
        <v>85</v>
      </c>
      <c r="N28" s="5"/>
      <c r="O28" s="5"/>
      <c r="P28" s="5" t="s">
        <v>51</v>
      </c>
      <c r="Q28" s="5" t="s">
        <v>51</v>
      </c>
      <c r="R28" s="5"/>
      <c r="S28" s="5"/>
      <c r="T28" s="5"/>
      <c r="U28" s="63"/>
      <c r="V28" s="63">
        <v>45100</v>
      </c>
      <c r="W28" s="63">
        <v>45106</v>
      </c>
      <c r="X28" s="72">
        <v>20235005109379</v>
      </c>
      <c r="Y28" s="73"/>
      <c r="Z28" s="77" t="s">
        <v>806</v>
      </c>
      <c r="AA28" s="63">
        <v>45112</v>
      </c>
      <c r="AB28" s="53"/>
      <c r="AC28" s="8" t="s">
        <v>802</v>
      </c>
      <c r="AE28" s="65"/>
      <c r="AF28" s="13" t="s">
        <v>687</v>
      </c>
      <c r="AH28" s="4">
        <v>400</v>
      </c>
      <c r="AI28" s="5"/>
      <c r="AJ28" s="63"/>
      <c r="AK28" s="5"/>
      <c r="AL28" s="5"/>
    </row>
    <row r="29" spans="1:38 16384:16384" ht="31.5" customHeight="1" x14ac:dyDescent="0.35">
      <c r="A29" s="11">
        <v>1178</v>
      </c>
      <c r="B29" s="59" t="s">
        <v>591</v>
      </c>
      <c r="C29" s="4" t="s">
        <v>617</v>
      </c>
      <c r="D29" s="4" t="s">
        <v>591</v>
      </c>
      <c r="F29" s="45">
        <v>0</v>
      </c>
      <c r="G29" s="46" t="s">
        <v>629</v>
      </c>
      <c r="H29" s="94" t="s">
        <v>630</v>
      </c>
      <c r="I29" s="5">
        <v>291388035</v>
      </c>
      <c r="J29" s="5" t="s">
        <v>631</v>
      </c>
      <c r="K29" s="95" t="s">
        <v>632</v>
      </c>
      <c r="L29" s="5">
        <v>291370667</v>
      </c>
      <c r="M29" s="5" t="s">
        <v>631</v>
      </c>
      <c r="N29" s="96"/>
      <c r="O29" s="96"/>
      <c r="P29" s="96"/>
      <c r="Q29" s="96"/>
      <c r="R29" s="96"/>
      <c r="S29" s="96"/>
      <c r="T29" s="96"/>
      <c r="U29" s="97"/>
      <c r="AI29" s="13" t="s">
        <v>591</v>
      </c>
      <c r="AJ29" s="53"/>
      <c r="AK29" s="13"/>
      <c r="AL29" s="13"/>
    </row>
    <row r="30" spans="1:38 16384:16384" ht="31.5" customHeight="1" x14ac:dyDescent="0.35">
      <c r="A30" s="11">
        <v>1191</v>
      </c>
      <c r="B30" s="59">
        <v>2021</v>
      </c>
      <c r="C30" s="67" t="s">
        <v>617</v>
      </c>
      <c r="F30" s="45">
        <v>1</v>
      </c>
      <c r="G30" s="46" t="s">
        <v>73</v>
      </c>
      <c r="H30" s="61" t="s">
        <v>87</v>
      </c>
      <c r="I30" s="5">
        <v>293407088</v>
      </c>
      <c r="J30" s="5" t="s">
        <v>88</v>
      </c>
      <c r="K30" s="98" t="s">
        <v>90</v>
      </c>
      <c r="L30" s="5">
        <v>293724130</v>
      </c>
      <c r="M30" s="5" t="s">
        <v>88</v>
      </c>
      <c r="N30" s="5"/>
      <c r="O30" s="5"/>
      <c r="P30" s="5"/>
      <c r="Q30" s="5"/>
      <c r="R30" s="5"/>
      <c r="S30" s="5"/>
      <c r="T30" s="84"/>
      <c r="U30" s="85"/>
      <c r="V30" s="63">
        <v>45073</v>
      </c>
      <c r="W30" s="63">
        <v>45075</v>
      </c>
      <c r="X30" s="72">
        <v>20235005902287</v>
      </c>
      <c r="Y30" s="73">
        <v>45133</v>
      </c>
      <c r="Z30" s="10">
        <v>2054.56</v>
      </c>
      <c r="AA30" s="54"/>
      <c r="AB30" s="54"/>
      <c r="AC30" s="8" t="s">
        <v>807</v>
      </c>
      <c r="AD30" s="88" t="s">
        <v>591</v>
      </c>
      <c r="AE30" s="75" t="s">
        <v>808</v>
      </c>
      <c r="AF30" s="13"/>
      <c r="AG30" s="12"/>
      <c r="AI30" s="13"/>
      <c r="AJ30" s="53"/>
      <c r="AK30" s="13" t="s">
        <v>73</v>
      </c>
      <c r="AL30" s="13" t="s">
        <v>633</v>
      </c>
    </row>
    <row r="31" spans="1:38 16384:16384" ht="31.5" customHeight="1" x14ac:dyDescent="0.35">
      <c r="A31" s="11">
        <v>1199</v>
      </c>
      <c r="B31" s="59" t="s">
        <v>591</v>
      </c>
      <c r="C31" s="67"/>
      <c r="F31" s="45">
        <v>1</v>
      </c>
      <c r="G31" s="46" t="s">
        <v>73</v>
      </c>
      <c r="H31" s="61" t="s">
        <v>809</v>
      </c>
      <c r="I31" s="5">
        <v>289820499</v>
      </c>
      <c r="J31" s="5" t="s">
        <v>93</v>
      </c>
      <c r="K31" s="99"/>
      <c r="L31" s="5"/>
      <c r="M31" s="5"/>
      <c r="N31" s="5"/>
      <c r="O31" s="5"/>
      <c r="P31" s="5"/>
      <c r="Q31" s="5"/>
      <c r="R31" s="5"/>
      <c r="S31" s="5"/>
      <c r="T31" s="84"/>
      <c r="U31" s="85"/>
      <c r="V31" s="63">
        <v>45104</v>
      </c>
      <c r="W31" s="63">
        <v>45104</v>
      </c>
      <c r="X31" s="72" t="s">
        <v>810</v>
      </c>
      <c r="Y31" s="73"/>
      <c r="Z31" s="74">
        <v>0</v>
      </c>
      <c r="AA31" s="54"/>
      <c r="AB31" s="54"/>
      <c r="AC31" s="8" t="s">
        <v>811</v>
      </c>
      <c r="AD31" s="8" t="s">
        <v>812</v>
      </c>
      <c r="AE31" s="75" t="s">
        <v>787</v>
      </c>
      <c r="AF31" s="13"/>
      <c r="AG31" s="12"/>
      <c r="AI31" s="13" t="s">
        <v>591</v>
      </c>
      <c r="AJ31" s="53"/>
      <c r="AK31" s="13"/>
      <c r="AL31" s="13"/>
    </row>
    <row r="32" spans="1:38 16384:16384" ht="31.5" customHeight="1" x14ac:dyDescent="0.35">
      <c r="A32" s="11">
        <v>1202</v>
      </c>
      <c r="B32" s="59">
        <v>2021</v>
      </c>
      <c r="C32" s="67" t="s">
        <v>617</v>
      </c>
      <c r="F32" s="45">
        <v>1</v>
      </c>
      <c r="G32" s="46" t="s">
        <v>73</v>
      </c>
      <c r="H32" s="61" t="s">
        <v>95</v>
      </c>
      <c r="I32" s="98">
        <v>292228953</v>
      </c>
      <c r="J32" s="98" t="s">
        <v>97</v>
      </c>
      <c r="K32" s="98"/>
      <c r="L32" s="98"/>
      <c r="M32" s="98"/>
      <c r="N32" s="98"/>
      <c r="O32" s="98"/>
      <c r="P32" s="98"/>
      <c r="Q32" s="98"/>
      <c r="R32" s="98"/>
      <c r="S32" s="98"/>
      <c r="T32" s="100"/>
      <c r="U32" s="101"/>
      <c r="V32" s="73">
        <v>45073</v>
      </c>
      <c r="W32" s="73">
        <v>45075</v>
      </c>
      <c r="X32" s="72" t="s">
        <v>813</v>
      </c>
      <c r="Y32" s="73"/>
      <c r="Z32" s="74">
        <v>0</v>
      </c>
      <c r="AA32" s="79"/>
      <c r="AB32" s="79"/>
      <c r="AC32" s="8" t="s">
        <v>814</v>
      </c>
      <c r="AD32" s="88" t="s">
        <v>591</v>
      </c>
      <c r="AE32" s="75" t="s">
        <v>800</v>
      </c>
      <c r="AF32" s="13"/>
      <c r="AI32" s="13" t="s">
        <v>591</v>
      </c>
      <c r="AJ32" s="53"/>
      <c r="AK32" s="13"/>
      <c r="AL32" s="13"/>
    </row>
    <row r="33" spans="1:35" ht="31.5" customHeight="1" x14ac:dyDescent="0.35">
      <c r="A33" s="11">
        <v>1205</v>
      </c>
      <c r="B33" s="59">
        <v>2021</v>
      </c>
      <c r="C33" s="67" t="s">
        <v>617</v>
      </c>
      <c r="D33" s="4" t="s">
        <v>815</v>
      </c>
      <c r="F33" s="45">
        <v>0</v>
      </c>
      <c r="G33" s="46"/>
      <c r="H33" s="94" t="s">
        <v>816</v>
      </c>
      <c r="I33" s="98">
        <v>241146011</v>
      </c>
      <c r="J33" s="102" t="s">
        <v>817</v>
      </c>
      <c r="K33" s="103" t="s">
        <v>818</v>
      </c>
      <c r="L33" s="98">
        <v>297531107</v>
      </c>
      <c r="M33" s="102" t="s">
        <v>819</v>
      </c>
      <c r="N33" s="102"/>
      <c r="O33" s="102"/>
      <c r="P33" s="102"/>
      <c r="Q33" s="102"/>
      <c r="R33" s="102"/>
      <c r="S33" s="102"/>
      <c r="T33" s="100"/>
      <c r="U33" s="101"/>
      <c r="V33" s="73"/>
      <c r="W33" s="73"/>
      <c r="X33" s="72"/>
      <c r="Y33" s="72"/>
      <c r="Z33" s="77"/>
      <c r="AA33" s="79"/>
      <c r="AB33" s="79"/>
      <c r="AC33" s="103"/>
      <c r="AD33" s="88"/>
      <c r="AE33" s="104" t="s">
        <v>820</v>
      </c>
      <c r="AF33" s="13"/>
      <c r="AI33" s="105"/>
    </row>
    <row r="35" spans="1:35" ht="31.5" customHeight="1" x14ac:dyDescent="0.35">
      <c r="A35" s="11">
        <v>1213</v>
      </c>
      <c r="B35" s="59">
        <v>2021</v>
      </c>
      <c r="C35" s="67" t="s">
        <v>617</v>
      </c>
      <c r="D35" s="4" t="s">
        <v>73</v>
      </c>
      <c r="F35" s="45">
        <v>1</v>
      </c>
      <c r="G35" s="46" t="s">
        <v>73</v>
      </c>
      <c r="H35" s="56" t="s">
        <v>105</v>
      </c>
      <c r="I35" s="8" t="s">
        <v>107</v>
      </c>
      <c r="J35" s="8" t="s">
        <v>108</v>
      </c>
      <c r="K35" s="8"/>
      <c r="L35" s="8"/>
      <c r="M35" s="8"/>
      <c r="N35" s="8"/>
      <c r="O35" s="8"/>
      <c r="P35" s="8"/>
      <c r="Q35" s="8"/>
      <c r="R35" s="8"/>
      <c r="S35" s="8"/>
      <c r="T35" s="106"/>
      <c r="U35" s="107"/>
      <c r="V35" s="6" t="s">
        <v>623</v>
      </c>
      <c r="W35" s="6" t="s">
        <v>623</v>
      </c>
      <c r="X35" s="72" t="s">
        <v>821</v>
      </c>
      <c r="Y35" s="73"/>
      <c r="Z35" s="74">
        <v>0</v>
      </c>
      <c r="AA35" s="54"/>
      <c r="AB35" s="54"/>
      <c r="AC35" s="8" t="s">
        <v>73</v>
      </c>
      <c r="AD35" s="108" t="s">
        <v>822</v>
      </c>
      <c r="AE35" s="75" t="s">
        <v>823</v>
      </c>
      <c r="AF35" s="13"/>
      <c r="AH35" s="4">
        <v>0</v>
      </c>
      <c r="AI35" s="5" t="s">
        <v>591</v>
      </c>
    </row>
    <row r="36" spans="1:35" ht="31.5" customHeight="1" x14ac:dyDescent="0.35">
      <c r="A36" s="13">
        <v>1218</v>
      </c>
      <c r="B36" s="109">
        <v>2021</v>
      </c>
      <c r="C36" s="67" t="s">
        <v>617</v>
      </c>
      <c r="D36" s="5" t="s">
        <v>591</v>
      </c>
      <c r="F36" s="45">
        <v>0</v>
      </c>
      <c r="G36" s="46"/>
      <c r="H36" s="94" t="s">
        <v>824</v>
      </c>
      <c r="I36" s="5">
        <v>291693369</v>
      </c>
      <c r="J36" s="5" t="s">
        <v>825</v>
      </c>
      <c r="K36" s="5"/>
      <c r="L36" s="5"/>
      <c r="M36" s="5"/>
      <c r="N36" s="5"/>
      <c r="O36" s="5"/>
      <c r="P36" s="5"/>
      <c r="Q36" s="5"/>
      <c r="R36" s="5"/>
      <c r="S36" s="5"/>
      <c r="T36" s="84"/>
      <c r="U36" s="85"/>
      <c r="V36" s="63"/>
      <c r="W36" s="63"/>
      <c r="X36" s="72"/>
      <c r="Y36" s="73"/>
      <c r="Z36" s="74"/>
      <c r="AA36" s="54"/>
      <c r="AB36" s="54"/>
      <c r="AC36" s="28"/>
      <c r="AD36" s="68"/>
      <c r="AE36" s="110"/>
      <c r="AF36" s="13"/>
      <c r="AI36" s="13"/>
    </row>
    <row r="37" spans="1:35" ht="31.5" customHeight="1" x14ac:dyDescent="0.35">
      <c r="A37" s="13"/>
      <c r="B37" s="109">
        <v>2021</v>
      </c>
      <c r="C37" s="67" t="s">
        <v>617</v>
      </c>
      <c r="D37" s="5" t="s">
        <v>591</v>
      </c>
      <c r="F37" s="45">
        <v>0</v>
      </c>
      <c r="G37" s="46"/>
      <c r="H37" s="94" t="s">
        <v>114</v>
      </c>
      <c r="I37" s="5">
        <v>292467842</v>
      </c>
      <c r="J37" s="5" t="s">
        <v>115</v>
      </c>
      <c r="K37" s="5"/>
      <c r="L37" s="5"/>
      <c r="M37" s="5"/>
      <c r="N37" s="5"/>
      <c r="O37" s="5"/>
      <c r="P37" s="5"/>
      <c r="Q37" s="5"/>
      <c r="R37" s="5"/>
      <c r="S37" s="5"/>
      <c r="T37" s="70"/>
      <c r="U37" s="71"/>
      <c r="V37" s="63"/>
      <c r="W37" s="63"/>
      <c r="X37" s="72"/>
      <c r="Y37" s="73"/>
      <c r="Z37" s="74"/>
      <c r="AA37" s="54"/>
      <c r="AB37" s="54"/>
      <c r="AC37" s="28"/>
      <c r="AD37" s="68"/>
      <c r="AE37" s="104"/>
      <c r="AI37" s="75"/>
    </row>
    <row r="38" spans="1:35" s="11" customFormat="1" ht="31.5" customHeight="1" x14ac:dyDescent="0.35">
      <c r="B38" s="4">
        <v>2021</v>
      </c>
      <c r="C38" s="4" t="s">
        <v>617</v>
      </c>
      <c r="D38" s="4" t="s">
        <v>73</v>
      </c>
      <c r="E38" s="4"/>
      <c r="F38" s="45">
        <v>1</v>
      </c>
      <c r="G38" s="4" t="s">
        <v>73</v>
      </c>
      <c r="H38" s="56" t="s">
        <v>826</v>
      </c>
      <c r="I38" s="4">
        <v>298158574</v>
      </c>
      <c r="J38" s="4" t="s">
        <v>827</v>
      </c>
      <c r="S38" s="11" t="s">
        <v>51</v>
      </c>
      <c r="V38" s="6">
        <v>45105</v>
      </c>
      <c r="W38" s="6">
        <v>45106</v>
      </c>
      <c r="X38" s="72" t="s">
        <v>828</v>
      </c>
      <c r="Y38" s="73">
        <v>45138</v>
      </c>
      <c r="Z38" s="74">
        <v>0</v>
      </c>
      <c r="AC38" s="8" t="s">
        <v>829</v>
      </c>
      <c r="AD38" s="4" t="s">
        <v>829</v>
      </c>
      <c r="AE38" s="13" t="s">
        <v>830</v>
      </c>
      <c r="AF38" s="13"/>
      <c r="AI38" s="13" t="s">
        <v>591</v>
      </c>
    </row>
    <row r="39" spans="1:35" ht="31.5" customHeight="1" x14ac:dyDescent="0.35">
      <c r="A39" s="11">
        <v>1226</v>
      </c>
      <c r="B39" s="59">
        <v>2021</v>
      </c>
      <c r="C39" s="67" t="s">
        <v>617</v>
      </c>
      <c r="D39" s="5"/>
      <c r="F39" s="45">
        <v>1</v>
      </c>
      <c r="G39" s="46" t="s">
        <v>73</v>
      </c>
      <c r="H39" s="61" t="s">
        <v>831</v>
      </c>
      <c r="I39" s="5">
        <v>122448154</v>
      </c>
      <c r="J39" s="93" t="s">
        <v>832</v>
      </c>
      <c r="K39" s="93"/>
      <c r="L39" s="93"/>
      <c r="M39" s="93"/>
      <c r="N39" s="93"/>
      <c r="O39" s="93"/>
      <c r="P39" s="93"/>
      <c r="Q39" s="93"/>
      <c r="R39" s="93"/>
      <c r="S39" s="93"/>
      <c r="T39" s="84"/>
      <c r="U39" s="85"/>
      <c r="V39" s="73">
        <v>45080</v>
      </c>
      <c r="W39" s="73">
        <v>45082</v>
      </c>
      <c r="X39" s="72">
        <v>20235005977633</v>
      </c>
      <c r="Y39" s="73">
        <v>45138</v>
      </c>
      <c r="Z39" s="10">
        <v>2273.17</v>
      </c>
      <c r="AA39" s="53"/>
      <c r="AB39" s="53"/>
      <c r="AC39" s="8" t="s">
        <v>807</v>
      </c>
      <c r="AD39" s="88" t="s">
        <v>591</v>
      </c>
      <c r="AE39" s="65" t="s">
        <v>833</v>
      </c>
      <c r="AF39" s="13"/>
      <c r="AI39" s="13"/>
    </row>
    <row r="40" spans="1:35" ht="31.5" customHeight="1" x14ac:dyDescent="0.35">
      <c r="A40" s="11">
        <v>1237</v>
      </c>
      <c r="B40" s="59">
        <v>2021</v>
      </c>
      <c r="C40" s="67" t="s">
        <v>617</v>
      </c>
      <c r="D40" s="4" t="s">
        <v>73</v>
      </c>
      <c r="F40" s="45">
        <v>1</v>
      </c>
      <c r="G40" s="46" t="s">
        <v>73</v>
      </c>
      <c r="H40" s="61" t="s">
        <v>834</v>
      </c>
      <c r="I40" s="8" t="s">
        <v>835</v>
      </c>
      <c r="J40" s="8" t="s">
        <v>208</v>
      </c>
      <c r="K40" s="8"/>
      <c r="L40" s="8"/>
      <c r="M40" s="8"/>
      <c r="N40" s="8"/>
      <c r="O40" s="8"/>
      <c r="P40" s="8"/>
      <c r="Q40" s="8"/>
      <c r="R40" s="8"/>
      <c r="S40" s="8"/>
      <c r="T40" s="11"/>
      <c r="U40" s="51"/>
      <c r="V40" s="6">
        <v>45094</v>
      </c>
      <c r="X40" s="72" t="s">
        <v>836</v>
      </c>
      <c r="Y40" s="73">
        <v>45138</v>
      </c>
      <c r="Z40" s="74">
        <v>0</v>
      </c>
      <c r="AA40" s="11"/>
      <c r="AB40" s="11"/>
      <c r="AC40" s="6">
        <v>45120</v>
      </c>
      <c r="AD40" s="103" t="s">
        <v>591</v>
      </c>
      <c r="AE40" s="13" t="s">
        <v>837</v>
      </c>
      <c r="AF40" s="13"/>
      <c r="AH40" s="4">
        <v>400</v>
      </c>
      <c r="AI40" s="13" t="s">
        <v>591</v>
      </c>
    </row>
    <row r="41" spans="1:35" ht="31.5" customHeight="1" x14ac:dyDescent="0.35">
      <c r="A41" s="11">
        <v>1239</v>
      </c>
      <c r="B41" s="59">
        <v>2021</v>
      </c>
      <c r="C41" s="67" t="s">
        <v>617</v>
      </c>
      <c r="D41" s="4" t="s">
        <v>73</v>
      </c>
      <c r="F41" s="45">
        <v>1</v>
      </c>
      <c r="G41" s="46" t="s">
        <v>73</v>
      </c>
      <c r="H41" s="61" t="s">
        <v>117</v>
      </c>
      <c r="I41" s="4">
        <v>295873590</v>
      </c>
      <c r="J41" s="4" t="s">
        <v>642</v>
      </c>
      <c r="L41" s="4" t="s">
        <v>643</v>
      </c>
      <c r="T41" s="106"/>
      <c r="V41" s="6">
        <v>45036</v>
      </c>
      <c r="W41" s="8" t="s">
        <v>838</v>
      </c>
      <c r="X41" s="72" t="s">
        <v>839</v>
      </c>
      <c r="Y41" s="73"/>
      <c r="Z41" s="74">
        <v>0</v>
      </c>
      <c r="AA41" s="53"/>
      <c r="AB41" s="53"/>
      <c r="AC41" s="68" t="s">
        <v>840</v>
      </c>
      <c r="AD41" s="68" t="s">
        <v>841</v>
      </c>
      <c r="AE41" s="75" t="s">
        <v>842</v>
      </c>
      <c r="AF41" s="13"/>
      <c r="AH41" s="4">
        <v>400</v>
      </c>
      <c r="AI41" s="5" t="s">
        <v>591</v>
      </c>
    </row>
    <row r="42" spans="1:35" ht="31.5" customHeight="1" x14ac:dyDescent="0.35">
      <c r="A42" s="11">
        <v>1244</v>
      </c>
      <c r="B42" s="59">
        <v>2021</v>
      </c>
      <c r="C42" s="67" t="s">
        <v>617</v>
      </c>
      <c r="D42" s="4" t="s">
        <v>843</v>
      </c>
      <c r="F42" s="45">
        <v>1</v>
      </c>
      <c r="G42" s="46" t="s">
        <v>73</v>
      </c>
      <c r="H42" s="61" t="s">
        <v>131</v>
      </c>
      <c r="I42" s="4" t="s">
        <v>133</v>
      </c>
      <c r="J42" s="4" t="s">
        <v>134</v>
      </c>
      <c r="T42" s="106"/>
      <c r="V42" s="6">
        <v>45106</v>
      </c>
      <c r="W42" s="8" t="s">
        <v>844</v>
      </c>
      <c r="X42" s="72" t="s">
        <v>845</v>
      </c>
      <c r="Y42" s="73"/>
      <c r="Z42" s="74">
        <v>0</v>
      </c>
      <c r="AA42" s="53"/>
      <c r="AB42" s="53"/>
      <c r="AC42" s="106" t="s">
        <v>803</v>
      </c>
      <c r="AD42" s="88"/>
      <c r="AE42" s="75" t="s">
        <v>846</v>
      </c>
      <c r="AF42" s="13" t="s">
        <v>847</v>
      </c>
      <c r="AH42" s="4">
        <v>400</v>
      </c>
      <c r="AI42" s="5" t="s">
        <v>591</v>
      </c>
    </row>
    <row r="43" spans="1:35" ht="31.5" customHeight="1" x14ac:dyDescent="0.35">
      <c r="A43" s="11">
        <v>1246</v>
      </c>
      <c r="B43" s="59">
        <v>2021</v>
      </c>
      <c r="C43" s="67" t="s">
        <v>617</v>
      </c>
      <c r="F43" s="45">
        <v>0</v>
      </c>
      <c r="G43" s="46" t="s">
        <v>13</v>
      </c>
      <c r="H43" s="94" t="s">
        <v>127</v>
      </c>
      <c r="I43" s="103" t="s">
        <v>128</v>
      </c>
      <c r="J43" s="103" t="s">
        <v>129</v>
      </c>
      <c r="T43" s="111" t="s">
        <v>51</v>
      </c>
      <c r="U43" s="112" t="s">
        <v>848</v>
      </c>
      <c r="V43" s="6">
        <v>45284</v>
      </c>
      <c r="W43" s="8"/>
      <c r="X43" s="113"/>
      <c r="Y43" s="114"/>
      <c r="Z43" s="115"/>
      <c r="AA43" s="53"/>
      <c r="AB43" s="53"/>
      <c r="AC43" s="88"/>
      <c r="AD43" s="88"/>
      <c r="AE43" s="92" t="s">
        <v>849</v>
      </c>
      <c r="AF43" s="65"/>
      <c r="AI43" s="11"/>
    </row>
    <row r="44" spans="1:35" ht="31.5" customHeight="1" x14ac:dyDescent="0.35">
      <c r="A44" s="11">
        <v>1261</v>
      </c>
      <c r="B44" s="59">
        <v>2021</v>
      </c>
      <c r="C44" s="67" t="s">
        <v>617</v>
      </c>
      <c r="F44" s="45">
        <v>0</v>
      </c>
      <c r="G44" s="46" t="s">
        <v>13</v>
      </c>
      <c r="H44" s="94" t="s">
        <v>143</v>
      </c>
      <c r="I44" s="103" t="s">
        <v>145</v>
      </c>
      <c r="J44" s="103" t="s">
        <v>146</v>
      </c>
      <c r="T44" s="111" t="s">
        <v>51</v>
      </c>
      <c r="U44" s="112" t="s">
        <v>850</v>
      </c>
      <c r="V44" s="6">
        <v>45284</v>
      </c>
      <c r="W44" s="8"/>
      <c r="X44" s="113"/>
      <c r="Y44" s="114"/>
      <c r="Z44" s="115"/>
      <c r="AA44" s="53"/>
      <c r="AB44" s="53"/>
      <c r="AC44" s="88"/>
      <c r="AD44" s="88"/>
      <c r="AE44" s="92" t="s">
        <v>849</v>
      </c>
      <c r="AF44" s="65"/>
      <c r="AI44" s="5"/>
    </row>
    <row r="45" spans="1:35" s="11" customFormat="1" ht="31.5" customHeight="1" x14ac:dyDescent="0.35">
      <c r="A45" s="11">
        <v>1251</v>
      </c>
      <c r="B45" s="4">
        <v>2021</v>
      </c>
      <c r="C45" s="11" t="s">
        <v>617</v>
      </c>
      <c r="D45" s="4"/>
      <c r="E45" s="4"/>
      <c r="F45" s="45">
        <v>0</v>
      </c>
      <c r="G45" s="46" t="s">
        <v>13</v>
      </c>
      <c r="H45" s="94" t="s">
        <v>851</v>
      </c>
      <c r="I45" s="103">
        <v>302330682</v>
      </c>
      <c r="J45" s="103" t="s">
        <v>137</v>
      </c>
      <c r="K45" s="4"/>
      <c r="L45" s="4"/>
      <c r="T45" s="111" t="s">
        <v>51</v>
      </c>
      <c r="U45" s="112">
        <v>45098</v>
      </c>
      <c r="V45" s="6">
        <v>45282</v>
      </c>
      <c r="X45" s="116"/>
      <c r="Y45" s="117"/>
      <c r="Z45" s="118"/>
      <c r="AC45" s="103"/>
      <c r="AD45" s="119"/>
      <c r="AE45" s="92" t="s">
        <v>849</v>
      </c>
      <c r="AF45" s="119"/>
      <c r="AI45" s="5"/>
    </row>
    <row r="46" spans="1:35" ht="31.5" customHeight="1" x14ac:dyDescent="0.35">
      <c r="A46" s="11">
        <v>1253</v>
      </c>
      <c r="B46" s="59">
        <v>2021</v>
      </c>
      <c r="C46" s="67" t="s">
        <v>617</v>
      </c>
      <c r="D46" s="4" t="s">
        <v>73</v>
      </c>
      <c r="E46" s="4" t="s">
        <v>852</v>
      </c>
      <c r="F46" s="45">
        <v>1</v>
      </c>
      <c r="G46" s="46" t="s">
        <v>73</v>
      </c>
      <c r="H46" s="94" t="s">
        <v>729</v>
      </c>
      <c r="I46" s="103" t="s">
        <v>730</v>
      </c>
      <c r="J46" s="103" t="s">
        <v>731</v>
      </c>
      <c r="K46" s="98"/>
      <c r="L46" s="98"/>
      <c r="M46" s="98"/>
      <c r="N46" s="98" t="s">
        <v>51</v>
      </c>
      <c r="O46" s="98"/>
      <c r="P46" s="98" t="s">
        <v>51</v>
      </c>
      <c r="Q46" s="98"/>
      <c r="R46" s="98"/>
      <c r="S46" s="98"/>
      <c r="T46" s="120"/>
      <c r="U46" s="121"/>
      <c r="V46" s="91">
        <v>45098</v>
      </c>
      <c r="W46" s="91">
        <v>45099</v>
      </c>
      <c r="X46" s="113">
        <v>20235005935109</v>
      </c>
      <c r="Y46" s="114"/>
      <c r="Z46" s="122">
        <v>1796.61</v>
      </c>
      <c r="AA46" s="76"/>
      <c r="AB46" s="119"/>
      <c r="AC46" s="88"/>
      <c r="AD46" s="88"/>
      <c r="AE46" s="65" t="s">
        <v>732</v>
      </c>
      <c r="AF46" s="123" t="s">
        <v>687</v>
      </c>
      <c r="AH46" s="4">
        <v>150</v>
      </c>
      <c r="AI46" s="5"/>
    </row>
    <row r="47" spans="1:35" ht="31.5" customHeight="1" x14ac:dyDescent="0.35">
      <c r="A47" s="11">
        <v>1266</v>
      </c>
      <c r="B47" s="59" t="s">
        <v>591</v>
      </c>
      <c r="C47" s="67" t="s">
        <v>617</v>
      </c>
      <c r="D47" s="4" t="s">
        <v>73</v>
      </c>
      <c r="E47" s="4" t="s">
        <v>852</v>
      </c>
      <c r="F47" s="45">
        <v>1</v>
      </c>
      <c r="G47" s="46" t="s">
        <v>73</v>
      </c>
      <c r="H47" s="61" t="s">
        <v>853</v>
      </c>
      <c r="I47" s="98" t="s">
        <v>854</v>
      </c>
      <c r="J47" s="98" t="s">
        <v>855</v>
      </c>
      <c r="K47" s="98" t="s">
        <v>856</v>
      </c>
      <c r="L47" s="98" t="s">
        <v>857</v>
      </c>
      <c r="M47" s="98" t="s">
        <v>858</v>
      </c>
      <c r="N47" s="98"/>
      <c r="O47" s="98"/>
      <c r="P47" s="98"/>
      <c r="Q47" s="98" t="s">
        <v>51</v>
      </c>
      <c r="R47" s="98"/>
      <c r="S47" s="98"/>
      <c r="T47" s="120"/>
      <c r="U47" s="121"/>
      <c r="V47" s="91">
        <v>45099</v>
      </c>
      <c r="W47" s="91">
        <v>45104</v>
      </c>
      <c r="X47" s="124" t="s">
        <v>859</v>
      </c>
      <c r="Y47" s="91">
        <v>45138</v>
      </c>
      <c r="Z47" s="125">
        <v>85106.54</v>
      </c>
      <c r="AA47" s="76"/>
      <c r="AB47" s="119"/>
      <c r="AC47" s="68" t="s">
        <v>73</v>
      </c>
      <c r="AD47" s="68" t="s">
        <v>860</v>
      </c>
      <c r="AE47" s="75" t="s">
        <v>861</v>
      </c>
      <c r="AF47" s="13"/>
      <c r="AH47" s="4">
        <v>400</v>
      </c>
      <c r="AI47" s="13"/>
    </row>
    <row r="48" spans="1:35" ht="31.5" customHeight="1" x14ac:dyDescent="0.35">
      <c r="A48" s="11">
        <v>1268</v>
      </c>
      <c r="B48" s="4">
        <v>2021</v>
      </c>
      <c r="C48" s="67" t="s">
        <v>617</v>
      </c>
      <c r="D48" s="4" t="s">
        <v>591</v>
      </c>
      <c r="F48" s="45">
        <v>0</v>
      </c>
      <c r="G48" s="46"/>
      <c r="H48" s="61" t="s">
        <v>862</v>
      </c>
      <c r="I48" s="8" t="s">
        <v>863</v>
      </c>
      <c r="J48" s="4" t="s">
        <v>864</v>
      </c>
      <c r="K48" s="44"/>
      <c r="L48" s="44"/>
      <c r="N48" s="44"/>
      <c r="O48" s="44"/>
      <c r="P48" s="44"/>
      <c r="Q48" s="44"/>
      <c r="R48" s="44"/>
      <c r="S48" s="44"/>
      <c r="T48" s="120"/>
      <c r="U48" s="121"/>
      <c r="V48" s="91"/>
      <c r="W48" s="91"/>
      <c r="X48" s="126"/>
      <c r="Y48" s="127"/>
      <c r="Z48" s="128"/>
      <c r="AA48" s="129"/>
      <c r="AB48" s="119"/>
      <c r="AC48" s="88"/>
      <c r="AD48" s="88"/>
      <c r="AE48" s="65" t="s">
        <v>865</v>
      </c>
      <c r="AI48" s="78"/>
    </row>
    <row r="49" spans="1:35" ht="31.5" customHeight="1" x14ac:dyDescent="0.35">
      <c r="A49" s="11">
        <v>1281</v>
      </c>
      <c r="B49" s="59">
        <v>2021</v>
      </c>
      <c r="C49" s="67" t="s">
        <v>617</v>
      </c>
      <c r="D49" s="4" t="s">
        <v>73</v>
      </c>
      <c r="E49" s="4" t="s">
        <v>49</v>
      </c>
      <c r="F49" s="45">
        <v>1</v>
      </c>
      <c r="G49" s="46" t="s">
        <v>73</v>
      </c>
      <c r="H49" s="739" t="s">
        <v>148</v>
      </c>
      <c r="I49" s="8" t="s">
        <v>149</v>
      </c>
      <c r="J49" s="8" t="s">
        <v>150</v>
      </c>
      <c r="K49" s="4" t="s">
        <v>866</v>
      </c>
      <c r="L49" s="66" t="s">
        <v>867</v>
      </c>
      <c r="M49" s="8" t="s">
        <v>652</v>
      </c>
      <c r="N49" s="8"/>
      <c r="O49" s="8"/>
      <c r="P49" s="8"/>
      <c r="Q49" s="8"/>
      <c r="R49" s="8"/>
      <c r="S49" s="8"/>
      <c r="V49" s="6">
        <v>45083</v>
      </c>
      <c r="W49" s="8" t="s">
        <v>812</v>
      </c>
      <c r="X49" s="72" t="s">
        <v>868</v>
      </c>
      <c r="Y49" s="73">
        <v>45138</v>
      </c>
      <c r="Z49" s="74">
        <v>0</v>
      </c>
      <c r="AA49" s="78"/>
      <c r="AB49" s="78"/>
      <c r="AC49" s="77"/>
      <c r="AD49" s="77"/>
      <c r="AE49" s="75" t="s">
        <v>869</v>
      </c>
      <c r="AF49" s="13" t="s">
        <v>870</v>
      </c>
      <c r="AH49" s="4">
        <v>400</v>
      </c>
      <c r="AI49" s="78" t="s">
        <v>591</v>
      </c>
    </row>
    <row r="50" spans="1:35" ht="31.5" customHeight="1" x14ac:dyDescent="0.35">
      <c r="B50" s="59">
        <v>2021</v>
      </c>
      <c r="C50" s="67" t="s">
        <v>617</v>
      </c>
      <c r="F50" s="45">
        <v>1</v>
      </c>
      <c r="G50" s="46" t="s">
        <v>73</v>
      </c>
      <c r="H50" s="739"/>
      <c r="I50" s="4">
        <v>304411612</v>
      </c>
      <c r="J50" s="4" t="s">
        <v>652</v>
      </c>
      <c r="V50" s="6" t="s">
        <v>871</v>
      </c>
      <c r="W50" s="8"/>
      <c r="X50" s="72" t="s">
        <v>868</v>
      </c>
      <c r="Y50" s="73">
        <v>45138</v>
      </c>
      <c r="Z50" s="74">
        <v>0</v>
      </c>
      <c r="AA50" s="78"/>
      <c r="AB50" s="78"/>
      <c r="AC50" s="77"/>
      <c r="AD50" s="78"/>
      <c r="AE50" s="77"/>
      <c r="AF50" s="13" t="s">
        <v>870</v>
      </c>
      <c r="AI50" s="13"/>
    </row>
    <row r="51" spans="1:35" ht="31.5" customHeight="1" x14ac:dyDescent="0.35">
      <c r="A51" s="44">
        <v>1285</v>
      </c>
      <c r="B51" s="59" t="s">
        <v>591</v>
      </c>
      <c r="C51" s="44"/>
      <c r="D51" s="4" t="s">
        <v>591</v>
      </c>
      <c r="F51" s="45">
        <v>0</v>
      </c>
      <c r="G51" s="46" t="s">
        <v>629</v>
      </c>
      <c r="H51" s="130" t="s">
        <v>872</v>
      </c>
      <c r="I51" s="8" t="s">
        <v>873</v>
      </c>
      <c r="J51" s="4" t="s">
        <v>874</v>
      </c>
      <c r="K51" s="44"/>
      <c r="L51" s="44"/>
      <c r="N51" s="44"/>
      <c r="O51" s="44"/>
      <c r="P51" s="44"/>
      <c r="Q51" s="44"/>
      <c r="R51" s="44"/>
      <c r="S51" s="44"/>
      <c r="W51" s="8"/>
      <c r="X51" s="126"/>
      <c r="Y51" s="127"/>
      <c r="AA51" s="78"/>
      <c r="AB51" s="78"/>
      <c r="AC51" s="77"/>
      <c r="AD51" s="78"/>
      <c r="AE51" s="65"/>
      <c r="AF51" s="78"/>
      <c r="AI51" s="13"/>
    </row>
    <row r="52" spans="1:35" ht="31.5" customHeight="1" x14ac:dyDescent="0.35">
      <c r="A52" s="11">
        <v>1295</v>
      </c>
      <c r="B52" s="59">
        <v>2021</v>
      </c>
      <c r="C52" s="67" t="s">
        <v>617</v>
      </c>
      <c r="D52" s="4" t="s">
        <v>73</v>
      </c>
      <c r="F52" s="45">
        <v>1</v>
      </c>
      <c r="G52" s="46" t="s">
        <v>73</v>
      </c>
      <c r="H52" s="56" t="s">
        <v>875</v>
      </c>
      <c r="I52" s="8">
        <v>301024456</v>
      </c>
      <c r="J52" s="8" t="s">
        <v>876</v>
      </c>
      <c r="K52" s="11"/>
      <c r="L52" s="66"/>
      <c r="M52" s="8"/>
      <c r="N52" s="8"/>
      <c r="O52" s="8"/>
      <c r="P52" s="8"/>
      <c r="Q52" s="8"/>
      <c r="R52" s="8"/>
      <c r="S52" s="8"/>
      <c r="V52" s="91">
        <v>45105</v>
      </c>
      <c r="W52" s="8" t="s">
        <v>860</v>
      </c>
      <c r="X52" s="72" t="s">
        <v>877</v>
      </c>
      <c r="Y52" s="73">
        <v>45138</v>
      </c>
      <c r="Z52" s="74">
        <v>0</v>
      </c>
      <c r="AA52" s="78"/>
      <c r="AB52" s="78"/>
      <c r="AC52" s="73">
        <v>45119</v>
      </c>
      <c r="AD52" s="77"/>
      <c r="AE52" s="78" t="s">
        <v>878</v>
      </c>
      <c r="AF52" s="13"/>
      <c r="AH52" s="4">
        <v>400</v>
      </c>
      <c r="AI52" s="78"/>
    </row>
    <row r="54" spans="1:35" ht="31.5" customHeight="1" x14ac:dyDescent="0.35">
      <c r="A54" s="131">
        <v>1311</v>
      </c>
      <c r="B54" s="132">
        <v>2021</v>
      </c>
      <c r="C54" s="133" t="s">
        <v>617</v>
      </c>
      <c r="D54" s="84" t="s">
        <v>591</v>
      </c>
      <c r="E54" s="28"/>
      <c r="F54" s="134">
        <v>0</v>
      </c>
      <c r="G54" s="134"/>
      <c r="H54" s="135" t="s">
        <v>166</v>
      </c>
      <c r="I54" s="106" t="s">
        <v>167</v>
      </c>
      <c r="J54" s="106" t="s">
        <v>168</v>
      </c>
      <c r="K54" s="136" t="s">
        <v>879</v>
      </c>
      <c r="L54" s="8" t="s">
        <v>171</v>
      </c>
      <c r="M54" s="8" t="s">
        <v>174</v>
      </c>
      <c r="N54" s="66"/>
      <c r="O54" s="66"/>
      <c r="P54" s="66"/>
      <c r="Q54" s="66"/>
      <c r="R54" s="66"/>
      <c r="S54" s="66"/>
      <c r="W54" s="8"/>
      <c r="X54" s="126"/>
      <c r="Y54" s="127"/>
      <c r="Z54" s="78"/>
      <c r="AA54" s="78"/>
      <c r="AB54" s="78"/>
      <c r="AC54" s="77"/>
      <c r="AD54" s="78"/>
      <c r="AE54" s="65" t="s">
        <v>880</v>
      </c>
      <c r="AF54" s="78"/>
      <c r="AI54" s="78"/>
    </row>
    <row r="55" spans="1:35" ht="31.5" customHeight="1" x14ac:dyDescent="0.35">
      <c r="A55" s="11">
        <v>1311</v>
      </c>
      <c r="C55" s="67"/>
      <c r="D55" s="5" t="s">
        <v>73</v>
      </c>
      <c r="E55" s="4" t="s">
        <v>49</v>
      </c>
      <c r="F55" s="45">
        <v>1</v>
      </c>
      <c r="G55" s="46"/>
      <c r="H55" s="61" t="s">
        <v>173</v>
      </c>
      <c r="I55" s="8" t="s">
        <v>171</v>
      </c>
      <c r="J55" s="8" t="s">
        <v>174</v>
      </c>
      <c r="K55" s="8"/>
      <c r="L55" s="8"/>
      <c r="M55" s="8"/>
      <c r="N55" s="8"/>
      <c r="O55" s="8"/>
      <c r="P55" s="8"/>
      <c r="Q55" s="8"/>
      <c r="R55" s="8"/>
      <c r="S55" s="8"/>
      <c r="V55" s="6">
        <v>45107</v>
      </c>
      <c r="W55" s="73"/>
      <c r="X55" s="126"/>
      <c r="Y55" s="127"/>
      <c r="Z55" s="78"/>
      <c r="AA55" s="78"/>
      <c r="AB55" s="78"/>
      <c r="AC55" s="68" t="s">
        <v>881</v>
      </c>
      <c r="AD55" s="77"/>
      <c r="AE55" s="65" t="s">
        <v>882</v>
      </c>
      <c r="AF55" s="78"/>
      <c r="AH55" s="4">
        <v>200</v>
      </c>
      <c r="AI55" s="80"/>
    </row>
    <row r="56" spans="1:35" ht="31.5" customHeight="1" x14ac:dyDescent="0.35">
      <c r="A56" s="11">
        <v>1315</v>
      </c>
      <c r="B56" s="59">
        <v>2021</v>
      </c>
      <c r="C56" s="67" t="s">
        <v>617</v>
      </c>
      <c r="D56" s="5" t="s">
        <v>73</v>
      </c>
      <c r="F56" s="45">
        <v>1</v>
      </c>
      <c r="G56" s="46" t="s">
        <v>73</v>
      </c>
      <c r="H56" s="61" t="s">
        <v>883</v>
      </c>
      <c r="I56" s="8" t="s">
        <v>884</v>
      </c>
      <c r="J56" s="8" t="s">
        <v>885</v>
      </c>
      <c r="K56" s="8"/>
      <c r="L56" s="8"/>
      <c r="M56" s="8"/>
      <c r="N56" s="8"/>
      <c r="O56" s="8"/>
      <c r="P56" s="8"/>
      <c r="Q56" s="8"/>
      <c r="R56" s="8"/>
      <c r="S56" s="8"/>
      <c r="V56" s="73">
        <v>45073</v>
      </c>
      <c r="W56" s="73">
        <v>45075</v>
      </c>
      <c r="X56" s="72" t="s">
        <v>886</v>
      </c>
      <c r="Y56" s="73"/>
      <c r="Z56" s="74">
        <v>817.65</v>
      </c>
      <c r="AA56" s="78"/>
      <c r="AB56" s="78"/>
      <c r="AC56" s="77">
        <v>45120</v>
      </c>
      <c r="AD56" s="77"/>
      <c r="AE56" s="78" t="s">
        <v>887</v>
      </c>
      <c r="AF56" s="13"/>
      <c r="AH56" s="4">
        <v>400</v>
      </c>
      <c r="AI56" s="11"/>
    </row>
    <row r="57" spans="1:35" ht="31.5" customHeight="1" x14ac:dyDescent="0.35">
      <c r="A57" s="137">
        <v>1316</v>
      </c>
      <c r="B57" s="138"/>
      <c r="C57" s="137"/>
      <c r="D57" s="139"/>
      <c r="E57" s="139"/>
      <c r="F57" s="140">
        <v>0</v>
      </c>
      <c r="G57" s="140" t="s">
        <v>591</v>
      </c>
      <c r="H57" s="141" t="s">
        <v>888</v>
      </c>
      <c r="I57" s="139">
        <v>305615882</v>
      </c>
      <c r="J57" s="139" t="s">
        <v>889</v>
      </c>
      <c r="K57" s="142"/>
      <c r="L57" s="142"/>
      <c r="M57" s="139"/>
      <c r="N57" s="142"/>
      <c r="O57" s="142"/>
      <c r="P57" s="142"/>
      <c r="Q57" s="142"/>
      <c r="R57" s="142"/>
      <c r="S57" s="142"/>
      <c r="T57" s="143"/>
      <c r="U57" s="144"/>
      <c r="V57" s="145"/>
      <c r="W57" s="146"/>
      <c r="X57" s="147"/>
      <c r="Y57" s="145"/>
      <c r="Z57" s="80"/>
      <c r="AA57" s="80"/>
      <c r="AB57" s="80"/>
      <c r="AC57" s="148"/>
      <c r="AD57" s="80"/>
      <c r="AE57" s="149"/>
      <c r="AF57" s="80"/>
      <c r="AI57" s="78"/>
    </row>
    <row r="58" spans="1:35" s="11" customFormat="1" ht="31.5" customHeight="1" x14ac:dyDescent="0.35">
      <c r="A58" s="11">
        <v>1322</v>
      </c>
      <c r="B58" s="4"/>
      <c r="D58" s="4" t="s">
        <v>73</v>
      </c>
      <c r="E58" s="4" t="s">
        <v>618</v>
      </c>
      <c r="F58" s="45">
        <v>1</v>
      </c>
      <c r="G58" s="4" t="s">
        <v>73</v>
      </c>
      <c r="H58" s="56" t="s">
        <v>192</v>
      </c>
      <c r="I58" s="4" t="s">
        <v>193</v>
      </c>
      <c r="J58" s="4" t="s">
        <v>194</v>
      </c>
      <c r="K58" s="4"/>
      <c r="L58" s="4"/>
      <c r="M58" s="4"/>
      <c r="N58" s="4"/>
      <c r="O58" s="4"/>
      <c r="P58" s="4"/>
      <c r="Q58" s="4"/>
      <c r="R58" s="4" t="s">
        <v>51</v>
      </c>
      <c r="S58" s="4" t="s">
        <v>51</v>
      </c>
      <c r="T58" s="4"/>
      <c r="U58" s="4"/>
      <c r="V58" s="6">
        <v>45099</v>
      </c>
      <c r="W58" s="6">
        <v>45100</v>
      </c>
      <c r="X58" s="4" t="s">
        <v>890</v>
      </c>
      <c r="Y58" s="6"/>
      <c r="Z58" s="40">
        <v>0</v>
      </c>
      <c r="AA58" s="4"/>
      <c r="AB58" s="4"/>
      <c r="AC58" s="6">
        <v>45100</v>
      </c>
      <c r="AD58" s="6">
        <v>45110</v>
      </c>
      <c r="AE58" s="75" t="s">
        <v>891</v>
      </c>
      <c r="AF58" s="13"/>
      <c r="AG58" s="11" t="s">
        <v>51</v>
      </c>
      <c r="AH58" s="4">
        <v>400</v>
      </c>
      <c r="AI58" s="13"/>
    </row>
    <row r="59" spans="1:35" ht="31.5" customHeight="1" x14ac:dyDescent="0.35">
      <c r="A59" s="11">
        <v>1327</v>
      </c>
      <c r="B59" s="59">
        <v>2021</v>
      </c>
      <c r="C59" s="67" t="s">
        <v>617</v>
      </c>
      <c r="D59" s="5" t="s">
        <v>73</v>
      </c>
      <c r="F59" s="45">
        <v>1</v>
      </c>
      <c r="G59" s="46" t="s">
        <v>73</v>
      </c>
      <c r="H59" s="56" t="s">
        <v>892</v>
      </c>
      <c r="I59" s="8" t="s">
        <v>197</v>
      </c>
      <c r="J59" s="8" t="s">
        <v>198</v>
      </c>
      <c r="K59" s="66"/>
      <c r="L59" s="66"/>
      <c r="M59" s="8"/>
      <c r="N59" s="66"/>
      <c r="O59" s="66"/>
      <c r="P59" s="66"/>
      <c r="Q59" s="66"/>
      <c r="R59" s="66"/>
      <c r="S59" s="66"/>
      <c r="V59" s="6" t="s">
        <v>893</v>
      </c>
      <c r="W59" s="8" t="s">
        <v>893</v>
      </c>
      <c r="X59" s="126" t="s">
        <v>890</v>
      </c>
      <c r="Y59" s="127"/>
      <c r="Z59" s="150">
        <v>0</v>
      </c>
      <c r="AA59" s="78"/>
      <c r="AB59" s="78"/>
      <c r="AC59" s="77" t="s">
        <v>894</v>
      </c>
      <c r="AD59" s="77"/>
      <c r="AE59" s="75" t="s">
        <v>891</v>
      </c>
      <c r="AF59" s="13"/>
      <c r="AG59" s="4" t="s">
        <v>51</v>
      </c>
      <c r="AH59" s="4">
        <v>0</v>
      </c>
      <c r="AI59" s="13"/>
    </row>
    <row r="60" spans="1:35" ht="31.5" customHeight="1" x14ac:dyDescent="0.35">
      <c r="A60" s="11">
        <v>1333</v>
      </c>
      <c r="B60" s="59">
        <v>2021</v>
      </c>
      <c r="C60" s="67" t="s">
        <v>617</v>
      </c>
      <c r="D60" s="5" t="s">
        <v>73</v>
      </c>
      <c r="E60" s="4" t="s">
        <v>49</v>
      </c>
      <c r="F60" s="45">
        <v>1</v>
      </c>
      <c r="G60" s="46" t="s">
        <v>73</v>
      </c>
      <c r="H60" s="56" t="s">
        <v>895</v>
      </c>
      <c r="I60" s="8" t="s">
        <v>46</v>
      </c>
      <c r="J60" s="8" t="s">
        <v>47</v>
      </c>
      <c r="K60" s="66"/>
      <c r="L60" s="66"/>
      <c r="M60" s="8"/>
      <c r="N60" s="66"/>
      <c r="O60" s="66"/>
      <c r="P60" s="66"/>
      <c r="Q60" s="66"/>
      <c r="R60" s="66"/>
      <c r="S60" s="66"/>
      <c r="V60" s="6" t="s">
        <v>896</v>
      </c>
      <c r="W60" s="6" t="s">
        <v>896</v>
      </c>
      <c r="X60" s="72" t="s">
        <v>897</v>
      </c>
      <c r="Y60" s="73"/>
      <c r="Z60" s="74">
        <v>11390.55</v>
      </c>
      <c r="AA60" s="78"/>
      <c r="AB60" s="78"/>
      <c r="AC60" s="77" t="s">
        <v>73</v>
      </c>
      <c r="AD60" s="77" t="s">
        <v>41</v>
      </c>
      <c r="AE60" s="78" t="s">
        <v>898</v>
      </c>
      <c r="AF60" s="13"/>
      <c r="AH60" s="4">
        <v>400</v>
      </c>
      <c r="AI60" s="10"/>
    </row>
    <row r="61" spans="1:35" ht="31.5" customHeight="1" x14ac:dyDescent="0.35">
      <c r="A61" s="44"/>
      <c r="C61" s="67"/>
      <c r="D61" s="5" t="s">
        <v>73</v>
      </c>
      <c r="E61" s="4" t="s">
        <v>49</v>
      </c>
      <c r="F61" s="45">
        <v>1</v>
      </c>
      <c r="G61" s="46" t="s">
        <v>73</v>
      </c>
      <c r="H61" s="61" t="s">
        <v>52</v>
      </c>
      <c r="I61" s="4">
        <v>294042539</v>
      </c>
      <c r="J61" s="8" t="s">
        <v>53</v>
      </c>
      <c r="K61" s="66"/>
      <c r="L61" s="66"/>
      <c r="M61" s="8"/>
      <c r="N61" s="66"/>
      <c r="O61" s="66"/>
      <c r="P61" s="66"/>
      <c r="Q61" s="66"/>
      <c r="R61" s="66"/>
      <c r="S61" s="66"/>
      <c r="V61" s="6">
        <v>45088</v>
      </c>
      <c r="W61" s="8" t="s">
        <v>899</v>
      </c>
      <c r="X61" s="72" t="s">
        <v>900</v>
      </c>
      <c r="Y61" s="73"/>
      <c r="Z61" s="74">
        <v>2097.5500000000002</v>
      </c>
      <c r="AA61" s="78"/>
      <c r="AB61" s="78"/>
      <c r="AC61" s="77" t="s">
        <v>73</v>
      </c>
      <c r="AD61" s="77" t="s">
        <v>41</v>
      </c>
      <c r="AE61" s="78" t="s">
        <v>898</v>
      </c>
      <c r="AF61" s="13"/>
      <c r="AH61" s="4">
        <v>400</v>
      </c>
      <c r="AI61" s="10"/>
    </row>
    <row r="62" spans="1:35" ht="31.5" customHeight="1" x14ac:dyDescent="0.35">
      <c r="A62" s="736">
        <v>1319</v>
      </c>
      <c r="B62" s="4">
        <v>2021</v>
      </c>
      <c r="C62" s="67" t="s">
        <v>617</v>
      </c>
      <c r="D62" s="5" t="s">
        <v>591</v>
      </c>
      <c r="F62" s="45">
        <v>0</v>
      </c>
      <c r="G62" s="46"/>
      <c r="H62" s="56" t="s">
        <v>901</v>
      </c>
      <c r="I62" s="8" t="s">
        <v>186</v>
      </c>
      <c r="J62" s="8" t="s">
        <v>659</v>
      </c>
      <c r="K62" s="66"/>
      <c r="L62" s="66"/>
      <c r="M62" s="8"/>
      <c r="N62" s="66"/>
      <c r="O62" s="66"/>
      <c r="P62" s="66"/>
      <c r="Q62" s="66"/>
      <c r="R62" s="66"/>
      <c r="S62" s="66"/>
      <c r="W62" s="8"/>
      <c r="X62" s="126"/>
      <c r="Y62" s="127"/>
      <c r="Z62" s="10"/>
      <c r="AA62" s="78"/>
      <c r="AB62" s="10"/>
      <c r="AC62" s="74"/>
      <c r="AD62" s="10"/>
      <c r="AE62" s="65"/>
      <c r="AF62" s="10"/>
      <c r="AI62" s="13"/>
    </row>
    <row r="63" spans="1:35" ht="31.5" customHeight="1" x14ac:dyDescent="0.35">
      <c r="A63" s="736"/>
      <c r="B63" s="4">
        <v>2021</v>
      </c>
      <c r="C63" s="67" t="s">
        <v>617</v>
      </c>
      <c r="D63" s="5" t="s">
        <v>591</v>
      </c>
      <c r="F63" s="45">
        <v>0</v>
      </c>
      <c r="G63" s="46"/>
      <c r="H63" s="56" t="s">
        <v>902</v>
      </c>
      <c r="I63" s="4">
        <v>289539498</v>
      </c>
      <c r="J63" s="4" t="s">
        <v>191</v>
      </c>
      <c r="W63" s="8"/>
      <c r="X63" s="126"/>
      <c r="Y63" s="127"/>
      <c r="Z63" s="10"/>
      <c r="AA63" s="78"/>
      <c r="AB63" s="10"/>
      <c r="AC63" s="74"/>
      <c r="AD63" s="10"/>
      <c r="AE63" s="74"/>
      <c r="AF63" s="10" t="s">
        <v>903</v>
      </c>
      <c r="AI63" s="64"/>
    </row>
    <row r="64" spans="1:35" ht="31.5" customHeight="1" x14ac:dyDescent="0.35">
      <c r="B64" s="59">
        <v>2021</v>
      </c>
      <c r="C64" s="11" t="s">
        <v>617</v>
      </c>
      <c r="D64" s="4" t="s">
        <v>73</v>
      </c>
      <c r="F64" s="45">
        <v>1</v>
      </c>
      <c r="G64" s="46" t="s">
        <v>73</v>
      </c>
      <c r="H64" s="61" t="s">
        <v>139</v>
      </c>
      <c r="I64" s="68" t="s">
        <v>140</v>
      </c>
      <c r="J64" s="68" t="s">
        <v>141</v>
      </c>
      <c r="K64" s="98"/>
      <c r="L64" s="8"/>
      <c r="M64" s="8"/>
      <c r="N64" s="8"/>
      <c r="O64" s="8"/>
      <c r="P64" s="8"/>
      <c r="Q64" s="8"/>
      <c r="R64" s="8" t="s">
        <v>51</v>
      </c>
      <c r="S64" s="8" t="s">
        <v>51</v>
      </c>
      <c r="T64" s="4"/>
      <c r="V64" s="6">
        <v>45107</v>
      </c>
      <c r="W64" s="6">
        <v>45108</v>
      </c>
      <c r="X64" s="72" t="s">
        <v>904</v>
      </c>
      <c r="Y64" s="73"/>
      <c r="Z64" s="74">
        <v>11024.56</v>
      </c>
      <c r="AA64" s="64"/>
      <c r="AB64" s="64"/>
      <c r="AC64" s="6">
        <v>45120</v>
      </c>
      <c r="AD64" s="12"/>
      <c r="AE64" s="64" t="s">
        <v>905</v>
      </c>
      <c r="AF64" s="13"/>
      <c r="AH64" s="4">
        <v>1000</v>
      </c>
      <c r="AI64" s="64"/>
    </row>
    <row r="65" spans="1:40" ht="31.5" customHeight="1" x14ac:dyDescent="0.35">
      <c r="A65" s="11">
        <v>1194</v>
      </c>
      <c r="B65" s="4" t="s">
        <v>61</v>
      </c>
      <c r="C65" s="67" t="s">
        <v>617</v>
      </c>
      <c r="D65" s="4" t="s">
        <v>591</v>
      </c>
      <c r="F65" s="45">
        <v>0</v>
      </c>
      <c r="G65" s="46"/>
      <c r="H65" s="56" t="s">
        <v>906</v>
      </c>
      <c r="K65" s="44"/>
      <c r="L65" s="44"/>
      <c r="N65" s="44"/>
      <c r="O65" s="44"/>
      <c r="P65" s="44"/>
      <c r="Q65" s="44"/>
      <c r="R65" s="44"/>
      <c r="S65" s="44"/>
      <c r="T65" s="44"/>
      <c r="U65" s="151"/>
      <c r="W65" s="51"/>
      <c r="X65" s="126"/>
      <c r="Y65" s="127"/>
      <c r="Z65" s="54"/>
      <c r="AA65" s="78"/>
      <c r="AB65" s="64"/>
      <c r="AC65" s="12"/>
      <c r="AD65" s="64"/>
      <c r="AE65" s="65"/>
      <c r="AF65" s="64"/>
      <c r="AI65" s="64"/>
      <c r="AJ65" s="51"/>
      <c r="AK65" s="64"/>
      <c r="AL65" s="64"/>
      <c r="AM65" s="5"/>
      <c r="AN65" s="10"/>
    </row>
    <row r="66" spans="1:40" ht="31.5" customHeight="1" x14ac:dyDescent="0.35">
      <c r="B66" s="4" t="s">
        <v>61</v>
      </c>
      <c r="C66" s="67" t="s">
        <v>617</v>
      </c>
      <c r="D66" s="4" t="s">
        <v>591</v>
      </c>
      <c r="F66" s="45"/>
      <c r="G66" s="46"/>
      <c r="H66" s="56" t="s">
        <v>907</v>
      </c>
      <c r="K66" s="44"/>
      <c r="L66" s="44"/>
      <c r="N66" s="44"/>
      <c r="O66" s="44"/>
      <c r="P66" s="44"/>
      <c r="Q66" s="44"/>
      <c r="R66" s="44"/>
      <c r="S66" s="44"/>
      <c r="T66" s="44"/>
      <c r="U66" s="151"/>
      <c r="W66" s="51"/>
      <c r="X66" s="126"/>
      <c r="Y66" s="127"/>
      <c r="Z66" s="54"/>
      <c r="AA66" s="78"/>
      <c r="AB66" s="64"/>
      <c r="AC66" s="12"/>
      <c r="AD66" s="64"/>
      <c r="AE66" s="86"/>
      <c r="AF66" s="64" t="s">
        <v>908</v>
      </c>
      <c r="AI66" s="5"/>
      <c r="AJ66" s="63"/>
      <c r="AK66" s="5"/>
      <c r="AL66" s="5"/>
      <c r="AM66" s="13"/>
      <c r="AN66" s="10"/>
    </row>
    <row r="67" spans="1:40" ht="31.5" customHeight="1" x14ac:dyDescent="0.35">
      <c r="A67" s="11">
        <v>1411</v>
      </c>
      <c r="B67" s="4">
        <v>2021</v>
      </c>
      <c r="C67" s="67" t="s">
        <v>617</v>
      </c>
      <c r="D67" s="5" t="s">
        <v>591</v>
      </c>
      <c r="F67" s="45">
        <v>0</v>
      </c>
      <c r="G67" s="46"/>
      <c r="H67" s="152" t="s">
        <v>909</v>
      </c>
      <c r="I67" s="4">
        <v>306522721</v>
      </c>
      <c r="J67" s="4" t="s">
        <v>910</v>
      </c>
      <c r="T67" s="64"/>
      <c r="U67" s="51"/>
      <c r="W67" s="51"/>
      <c r="X67" s="126"/>
      <c r="Y67" s="127"/>
      <c r="Z67" s="54"/>
      <c r="AA67" s="64"/>
      <c r="AB67" s="47"/>
      <c r="AC67" s="12"/>
      <c r="AD67" s="64"/>
      <c r="AE67" s="65"/>
      <c r="AF67" s="64"/>
      <c r="AI67" s="13"/>
      <c r="AJ67" s="53"/>
      <c r="AK67" s="13"/>
      <c r="AL67" s="13"/>
      <c r="AM67" s="13"/>
      <c r="AN67" s="10"/>
    </row>
    <row r="68" spans="1:40" ht="31.5" customHeight="1" x14ac:dyDescent="0.35">
      <c r="A68" s="11">
        <v>1304</v>
      </c>
      <c r="B68" s="59">
        <v>2021</v>
      </c>
      <c r="C68" s="67" t="s">
        <v>617</v>
      </c>
      <c r="F68" s="45">
        <v>0</v>
      </c>
      <c r="G68" s="46" t="s">
        <v>13</v>
      </c>
      <c r="H68" s="89" t="s">
        <v>163</v>
      </c>
      <c r="I68" s="4">
        <v>300776497</v>
      </c>
      <c r="J68" s="4" t="s">
        <v>911</v>
      </c>
      <c r="T68" s="111" t="s">
        <v>51</v>
      </c>
      <c r="U68" s="112" t="s">
        <v>848</v>
      </c>
      <c r="V68" s="6">
        <v>45283</v>
      </c>
      <c r="W68" s="8"/>
      <c r="X68" s="72"/>
      <c r="Y68" s="73"/>
      <c r="AA68" s="53"/>
      <c r="AB68" s="53"/>
      <c r="AC68" s="8"/>
      <c r="AE68" s="65" t="s">
        <v>912</v>
      </c>
      <c r="AI68" s="13"/>
      <c r="AJ68" s="53"/>
      <c r="AK68" s="13"/>
      <c r="AL68" s="13"/>
      <c r="AM68" s="13"/>
      <c r="AN68" s="10"/>
    </row>
    <row r="69" spans="1:40" ht="31.5" customHeight="1" x14ac:dyDescent="0.35">
      <c r="A69" s="11">
        <v>1344</v>
      </c>
      <c r="D69" s="4" t="s">
        <v>73</v>
      </c>
      <c r="F69" s="45">
        <v>1</v>
      </c>
      <c r="G69" s="46" t="s">
        <v>73</v>
      </c>
      <c r="H69" s="61" t="s">
        <v>913</v>
      </c>
      <c r="I69" s="68" t="s">
        <v>201</v>
      </c>
      <c r="J69" s="68" t="s">
        <v>202</v>
      </c>
      <c r="K69" s="98" t="s">
        <v>914</v>
      </c>
      <c r="L69" s="8" t="s">
        <v>915</v>
      </c>
      <c r="M69" s="8" t="s">
        <v>916</v>
      </c>
      <c r="N69" s="8"/>
      <c r="O69" s="8"/>
      <c r="P69" s="8"/>
      <c r="Q69" s="8"/>
      <c r="R69" s="8"/>
      <c r="S69" s="8"/>
      <c r="T69" s="4"/>
      <c r="V69" s="6">
        <v>45094</v>
      </c>
      <c r="W69" s="6">
        <v>45096</v>
      </c>
      <c r="X69" s="72" t="s">
        <v>917</v>
      </c>
      <c r="Y69" s="73"/>
      <c r="Z69" s="74">
        <v>0</v>
      </c>
      <c r="AA69" s="64"/>
      <c r="AB69" s="64"/>
      <c r="AC69" s="6">
        <v>45133</v>
      </c>
      <c r="AD69" s="6">
        <v>45135</v>
      </c>
      <c r="AE69" s="64" t="s">
        <v>918</v>
      </c>
      <c r="AF69" s="13"/>
      <c r="AH69" s="4">
        <v>400</v>
      </c>
      <c r="AI69" s="13"/>
      <c r="AJ69" s="53"/>
      <c r="AK69" s="13"/>
      <c r="AL69" s="13"/>
      <c r="AM69" s="13"/>
      <c r="AN69" s="10"/>
    </row>
    <row r="70" spans="1:40" ht="31.5" customHeight="1" x14ac:dyDescent="0.35">
      <c r="A70" s="11">
        <v>1348</v>
      </c>
      <c r="D70" s="4" t="s">
        <v>73</v>
      </c>
      <c r="F70" s="45">
        <v>1</v>
      </c>
      <c r="G70" s="46" t="s">
        <v>73</v>
      </c>
      <c r="H70" s="61" t="s">
        <v>213</v>
      </c>
      <c r="I70" s="68" t="s">
        <v>214</v>
      </c>
      <c r="J70" s="68" t="s">
        <v>667</v>
      </c>
      <c r="K70" s="98" t="s">
        <v>217</v>
      </c>
      <c r="L70" s="8" t="s">
        <v>218</v>
      </c>
      <c r="M70" s="8" t="s">
        <v>668</v>
      </c>
      <c r="N70" s="8"/>
      <c r="O70" s="8"/>
      <c r="P70" s="8"/>
      <c r="Q70" s="8"/>
      <c r="R70" s="8"/>
      <c r="S70" s="8"/>
      <c r="T70" s="4"/>
      <c r="V70" s="6" t="s">
        <v>919</v>
      </c>
      <c r="W70" s="6">
        <v>45107</v>
      </c>
      <c r="X70" s="72" t="s">
        <v>920</v>
      </c>
      <c r="Y70" s="73"/>
      <c r="Z70" s="74">
        <v>0</v>
      </c>
      <c r="AA70" s="64"/>
      <c r="AB70" s="64"/>
      <c r="AC70" s="6">
        <v>45120</v>
      </c>
      <c r="AD70" s="12"/>
      <c r="AE70" s="64" t="s">
        <v>921</v>
      </c>
      <c r="AF70" s="13"/>
      <c r="AH70" s="4">
        <v>400</v>
      </c>
      <c r="AI70" s="13"/>
      <c r="AJ70" s="53"/>
      <c r="AK70" s="13"/>
      <c r="AL70" s="13"/>
      <c r="AM70" s="13"/>
      <c r="AN70" s="10"/>
    </row>
    <row r="71" spans="1:40" ht="31.5" customHeight="1" x14ac:dyDescent="0.35">
      <c r="A71" s="11">
        <v>1350</v>
      </c>
      <c r="D71" s="4" t="s">
        <v>73</v>
      </c>
      <c r="F71" s="45">
        <v>1</v>
      </c>
      <c r="G71" s="46" t="s">
        <v>73</v>
      </c>
      <c r="H71" s="61" t="s">
        <v>922</v>
      </c>
      <c r="I71" s="68" t="s">
        <v>223</v>
      </c>
      <c r="J71" s="68" t="s">
        <v>224</v>
      </c>
      <c r="K71" s="98"/>
      <c r="L71" s="8"/>
      <c r="M71" s="8"/>
      <c r="N71" s="8"/>
      <c r="O71" s="8"/>
      <c r="P71" s="8"/>
      <c r="Q71" s="8"/>
      <c r="R71" s="8" t="s">
        <v>51</v>
      </c>
      <c r="S71" s="8" t="s">
        <v>51</v>
      </c>
      <c r="T71" s="4"/>
      <c r="V71" s="6">
        <v>45105</v>
      </c>
      <c r="W71" s="6">
        <v>45105</v>
      </c>
      <c r="X71" s="72" t="s">
        <v>923</v>
      </c>
      <c r="Y71" s="73"/>
      <c r="Z71" s="74">
        <v>0</v>
      </c>
      <c r="AA71" s="64"/>
      <c r="AB71" s="64"/>
      <c r="AC71" s="6">
        <v>45120</v>
      </c>
      <c r="AD71" s="12"/>
      <c r="AE71" s="64" t="s">
        <v>921</v>
      </c>
      <c r="AF71" s="13"/>
      <c r="AH71" s="4">
        <v>400</v>
      </c>
      <c r="AI71" s="13"/>
      <c r="AJ71" s="53"/>
      <c r="AK71" s="13" t="s">
        <v>99</v>
      </c>
      <c r="AL71" s="13" t="s">
        <v>73</v>
      </c>
      <c r="AM71" s="10"/>
      <c r="AN71" s="10"/>
    </row>
    <row r="72" spans="1:40" ht="31.5" customHeight="1" x14ac:dyDescent="0.35">
      <c r="A72" s="11">
        <v>1352</v>
      </c>
      <c r="D72" s="4" t="s">
        <v>73</v>
      </c>
      <c r="F72" s="45">
        <v>1</v>
      </c>
      <c r="G72" s="46" t="s">
        <v>73</v>
      </c>
      <c r="H72" s="61" t="s">
        <v>924</v>
      </c>
      <c r="I72" s="68" t="s">
        <v>227</v>
      </c>
      <c r="J72" s="68" t="s">
        <v>228</v>
      </c>
      <c r="K72" s="98"/>
      <c r="L72" s="8"/>
      <c r="M72" s="8"/>
      <c r="N72" s="8"/>
      <c r="O72" s="8"/>
      <c r="P72" s="8"/>
      <c r="Q72" s="8"/>
      <c r="R72" s="8" t="s">
        <v>51</v>
      </c>
      <c r="S72" s="8" t="s">
        <v>51</v>
      </c>
      <c r="T72" s="4"/>
      <c r="V72" s="6">
        <v>45106</v>
      </c>
      <c r="W72" s="6">
        <v>45106</v>
      </c>
      <c r="X72" s="72" t="s">
        <v>925</v>
      </c>
      <c r="Y72" s="73">
        <v>45138</v>
      </c>
      <c r="Z72" s="74">
        <v>1228.68</v>
      </c>
      <c r="AA72" s="64"/>
      <c r="AB72" s="64"/>
      <c r="AC72" s="6">
        <v>45138</v>
      </c>
      <c r="AD72" s="12"/>
      <c r="AE72" s="153" t="s">
        <v>926</v>
      </c>
      <c r="AF72" s="13"/>
      <c r="AH72" s="4">
        <v>400</v>
      </c>
      <c r="AI72" s="10"/>
      <c r="AJ72" s="53"/>
      <c r="AK72" s="13" t="s">
        <v>99</v>
      </c>
      <c r="AL72" s="10" t="s">
        <v>672</v>
      </c>
      <c r="AM72" s="13" t="s">
        <v>673</v>
      </c>
      <c r="AN72" s="13">
        <v>1228.68</v>
      </c>
    </row>
    <row r="73" spans="1:40" ht="31.5" customHeight="1" x14ac:dyDescent="0.35">
      <c r="A73" s="11">
        <v>1359</v>
      </c>
      <c r="D73" s="4" t="s">
        <v>73</v>
      </c>
      <c r="F73" s="45">
        <v>1</v>
      </c>
      <c r="G73" s="46" t="s">
        <v>73</v>
      </c>
      <c r="H73" s="56" t="s">
        <v>927</v>
      </c>
      <c r="I73" s="8" t="s">
        <v>928</v>
      </c>
      <c r="J73" s="8" t="s">
        <v>929</v>
      </c>
      <c r="K73" s="4" t="s">
        <v>930</v>
      </c>
      <c r="L73" s="8" t="s">
        <v>931</v>
      </c>
      <c r="M73" s="8" t="s">
        <v>932</v>
      </c>
      <c r="N73" s="8"/>
      <c r="O73" s="8"/>
      <c r="P73" s="8"/>
      <c r="Q73" s="8"/>
      <c r="R73" s="8"/>
      <c r="S73" s="8"/>
      <c r="T73" s="64"/>
      <c r="U73" s="51"/>
      <c r="V73" s="6">
        <v>45094</v>
      </c>
      <c r="W73" s="6">
        <v>45094</v>
      </c>
      <c r="X73" s="72" t="s">
        <v>933</v>
      </c>
      <c r="Y73" s="73"/>
      <c r="Z73" s="74">
        <v>0</v>
      </c>
      <c r="AA73" s="10"/>
      <c r="AB73" s="10"/>
      <c r="AC73" s="63">
        <v>45120</v>
      </c>
      <c r="AD73" s="74"/>
      <c r="AE73" s="64" t="s">
        <v>918</v>
      </c>
      <c r="AF73" s="13" t="s">
        <v>934</v>
      </c>
      <c r="AH73" s="4">
        <v>400</v>
      </c>
      <c r="AI73" s="13"/>
      <c r="AJ73" s="53"/>
      <c r="AK73" s="13"/>
      <c r="AL73" s="13"/>
      <c r="AM73" s="13"/>
      <c r="AN73" s="10"/>
    </row>
    <row r="74" spans="1:40" ht="31.5" customHeight="1" x14ac:dyDescent="0.35">
      <c r="A74" s="11">
        <v>1371</v>
      </c>
      <c r="D74" s="4" t="s">
        <v>73</v>
      </c>
      <c r="E74" s="4" t="s">
        <v>852</v>
      </c>
      <c r="F74" s="45">
        <v>1</v>
      </c>
      <c r="G74" s="46" t="s">
        <v>73</v>
      </c>
      <c r="H74" s="61" t="s">
        <v>231</v>
      </c>
      <c r="I74" s="68" t="s">
        <v>232</v>
      </c>
      <c r="J74" s="68" t="s">
        <v>233</v>
      </c>
      <c r="K74" s="4" t="s">
        <v>235</v>
      </c>
      <c r="L74" s="69" t="s">
        <v>236</v>
      </c>
      <c r="M74" s="68" t="s">
        <v>237</v>
      </c>
      <c r="N74" s="69" t="s">
        <v>51</v>
      </c>
      <c r="O74" s="69"/>
      <c r="P74" s="69" t="s">
        <v>51</v>
      </c>
      <c r="Q74" s="69"/>
      <c r="R74" s="69"/>
      <c r="S74" s="69"/>
      <c r="T74" s="69"/>
      <c r="U74" s="154"/>
      <c r="V74" s="6">
        <v>45097</v>
      </c>
      <c r="W74" s="6">
        <v>45097</v>
      </c>
      <c r="X74" s="72">
        <v>20235005932559</v>
      </c>
      <c r="Y74" s="73"/>
      <c r="Z74" s="77">
        <v>4631.4399999999996</v>
      </c>
      <c r="AA74" s="10"/>
      <c r="AB74" s="10"/>
      <c r="AC74" s="74"/>
      <c r="AD74" s="74"/>
      <c r="AE74" s="75" t="s">
        <v>935</v>
      </c>
      <c r="AF74" s="13"/>
      <c r="AH74" s="4">
        <v>400</v>
      </c>
      <c r="AI74" s="13"/>
      <c r="AJ74" s="53"/>
      <c r="AK74" s="13" t="s">
        <v>73</v>
      </c>
      <c r="AL74" s="13" t="s">
        <v>674</v>
      </c>
      <c r="AM74" s="13"/>
      <c r="AN74" s="10"/>
    </row>
    <row r="75" spans="1:40" ht="31.5" customHeight="1" x14ac:dyDescent="0.35">
      <c r="A75" s="11">
        <v>1392</v>
      </c>
      <c r="D75" s="4" t="s">
        <v>73</v>
      </c>
      <c r="F75" s="45">
        <v>1</v>
      </c>
      <c r="G75" s="46" t="s">
        <v>73</v>
      </c>
      <c r="H75" s="61" t="s">
        <v>936</v>
      </c>
      <c r="I75" s="68">
        <v>308440072</v>
      </c>
      <c r="J75" s="68" t="s">
        <v>937</v>
      </c>
      <c r="K75" s="4" t="s">
        <v>938</v>
      </c>
      <c r="L75" s="69" t="s">
        <v>939</v>
      </c>
      <c r="M75" s="68" t="s">
        <v>940</v>
      </c>
      <c r="N75" s="69"/>
      <c r="O75" s="69"/>
      <c r="P75" s="69"/>
      <c r="Q75" s="69"/>
      <c r="R75" s="69"/>
      <c r="S75" s="69"/>
      <c r="T75" s="69"/>
      <c r="U75" s="154"/>
      <c r="V75" s="6">
        <v>45100</v>
      </c>
      <c r="W75" s="6">
        <v>45100</v>
      </c>
      <c r="X75" s="72" t="s">
        <v>941</v>
      </c>
      <c r="Y75" s="73"/>
      <c r="Z75" s="74">
        <v>0</v>
      </c>
      <c r="AA75" s="10"/>
      <c r="AB75" s="10"/>
      <c r="AC75" s="63"/>
      <c r="AD75" s="74"/>
      <c r="AE75" s="64" t="s">
        <v>918</v>
      </c>
      <c r="AF75" s="13"/>
      <c r="AH75" s="4">
        <v>400</v>
      </c>
      <c r="AI75" s="13"/>
      <c r="AJ75" s="53"/>
      <c r="AK75" s="13"/>
      <c r="AL75" s="13"/>
      <c r="AM75" s="13"/>
      <c r="AN75" s="74"/>
    </row>
    <row r="76" spans="1:40" ht="31.5" customHeight="1" x14ac:dyDescent="0.35">
      <c r="A76" s="11">
        <v>1394</v>
      </c>
      <c r="D76" s="4" t="s">
        <v>73</v>
      </c>
      <c r="F76" s="45">
        <v>1</v>
      </c>
      <c r="G76" s="12" t="s">
        <v>73</v>
      </c>
      <c r="H76" s="61" t="s">
        <v>248</v>
      </c>
      <c r="I76" s="4">
        <v>308346173</v>
      </c>
      <c r="J76" s="4" t="s">
        <v>249</v>
      </c>
      <c r="T76" s="64"/>
      <c r="U76" s="51"/>
      <c r="V76" s="6">
        <v>45097</v>
      </c>
      <c r="W76" s="6">
        <v>45097</v>
      </c>
      <c r="X76" s="72">
        <v>20234004881718</v>
      </c>
      <c r="Y76" s="73"/>
      <c r="Z76" s="126">
        <v>0</v>
      </c>
      <c r="AA76" s="10"/>
      <c r="AB76" s="10"/>
      <c r="AC76" s="74"/>
      <c r="AD76" s="74"/>
      <c r="AE76" s="64" t="s">
        <v>942</v>
      </c>
      <c r="AF76" s="13" t="s">
        <v>676</v>
      </c>
      <c r="AH76" s="4">
        <v>0</v>
      </c>
      <c r="AI76" s="13"/>
      <c r="AJ76" s="53"/>
      <c r="AK76" s="13"/>
      <c r="AL76" s="13"/>
      <c r="AM76" s="5"/>
      <c r="AN76" s="10"/>
    </row>
    <row r="77" spans="1:40" ht="31.5" customHeight="1" x14ac:dyDescent="0.35">
      <c r="A77" s="11">
        <v>1399</v>
      </c>
      <c r="D77" s="12" t="s">
        <v>73</v>
      </c>
      <c r="E77" s="4" t="s">
        <v>49</v>
      </c>
      <c r="F77" s="45">
        <v>1</v>
      </c>
      <c r="G77" s="4" t="s">
        <v>73</v>
      </c>
      <c r="H77" s="56" t="s">
        <v>943</v>
      </c>
      <c r="I77" s="8" t="s">
        <v>944</v>
      </c>
      <c r="J77" s="8" t="s">
        <v>945</v>
      </c>
      <c r="K77" s="8"/>
      <c r="L77" s="8"/>
      <c r="M77" s="8"/>
      <c r="N77" s="8"/>
      <c r="O77" s="8"/>
      <c r="P77" s="8"/>
      <c r="Q77" s="8"/>
      <c r="R77" s="8"/>
      <c r="S77" s="8"/>
      <c r="T77" s="64"/>
      <c r="U77" s="51"/>
      <c r="V77" s="6">
        <v>45099</v>
      </c>
      <c r="W77" s="6">
        <v>45099</v>
      </c>
      <c r="X77" s="72">
        <v>20235004998400</v>
      </c>
      <c r="Y77" s="73"/>
      <c r="Z77" s="126">
        <v>0</v>
      </c>
      <c r="AA77" s="10"/>
      <c r="AB77" s="10"/>
      <c r="AC77" s="74" t="s">
        <v>894</v>
      </c>
      <c r="AD77" s="74" t="s">
        <v>894</v>
      </c>
      <c r="AE77" s="64" t="s">
        <v>942</v>
      </c>
      <c r="AF77" s="13"/>
      <c r="AH77" s="4">
        <v>0</v>
      </c>
      <c r="AI77" s="5"/>
      <c r="AJ77" s="63"/>
      <c r="AK77" s="5"/>
      <c r="AL77" s="5"/>
      <c r="AM77" s="10"/>
      <c r="AN77" s="10"/>
    </row>
    <row r="78" spans="1:40" ht="31.5" customHeight="1" x14ac:dyDescent="0.35">
      <c r="A78" s="11">
        <v>1401</v>
      </c>
      <c r="B78" s="59" t="s">
        <v>591</v>
      </c>
      <c r="C78" s="11" t="s">
        <v>617</v>
      </c>
      <c r="D78" s="12" t="s">
        <v>73</v>
      </c>
      <c r="E78" s="4" t="s">
        <v>49</v>
      </c>
      <c r="F78" s="45">
        <v>1</v>
      </c>
      <c r="G78" s="4" t="s">
        <v>73</v>
      </c>
      <c r="H78" s="56" t="s">
        <v>252</v>
      </c>
      <c r="I78" s="8" t="s">
        <v>946</v>
      </c>
      <c r="J78" s="8" t="s">
        <v>253</v>
      </c>
      <c r="K78" s="8"/>
      <c r="L78" s="8"/>
      <c r="M78" s="8"/>
      <c r="N78" s="8"/>
      <c r="O78" s="8"/>
      <c r="P78" s="8"/>
      <c r="Q78" s="8"/>
      <c r="R78" s="8" t="s">
        <v>51</v>
      </c>
      <c r="S78" s="8" t="s">
        <v>51</v>
      </c>
      <c r="T78" s="64"/>
      <c r="U78" s="51"/>
      <c r="V78" s="6">
        <v>45104</v>
      </c>
      <c r="W78" s="6">
        <v>45104</v>
      </c>
      <c r="X78" s="72" t="s">
        <v>947</v>
      </c>
      <c r="Y78" s="73"/>
      <c r="Z78" s="74">
        <v>0</v>
      </c>
      <c r="AA78" s="10"/>
      <c r="AB78" s="10"/>
      <c r="AC78" s="6">
        <v>45104</v>
      </c>
      <c r="AD78" s="6">
        <v>45104</v>
      </c>
      <c r="AE78" s="64" t="s">
        <v>942</v>
      </c>
      <c r="AF78" s="13"/>
      <c r="AH78" s="4">
        <v>400</v>
      </c>
      <c r="AI78" s="10"/>
      <c r="AJ78" s="53"/>
      <c r="AK78" s="10"/>
      <c r="AL78" s="10"/>
      <c r="AM78" s="10"/>
      <c r="AN78" s="10"/>
    </row>
    <row r="79" spans="1:40" ht="31.5" customHeight="1" x14ac:dyDescent="0.35">
      <c r="A79" s="11">
        <v>1404</v>
      </c>
      <c r="B79" s="59">
        <v>2021</v>
      </c>
      <c r="C79" s="67" t="s">
        <v>617</v>
      </c>
      <c r="D79" s="4" t="s">
        <v>73</v>
      </c>
      <c r="F79" s="45">
        <v>0</v>
      </c>
      <c r="G79" s="46" t="s">
        <v>13</v>
      </c>
      <c r="H79" s="61" t="s">
        <v>948</v>
      </c>
      <c r="I79" s="4" t="s">
        <v>256</v>
      </c>
      <c r="J79" s="4" t="s">
        <v>257</v>
      </c>
      <c r="T79" s="111" t="s">
        <v>161</v>
      </c>
      <c r="U79" s="112"/>
      <c r="V79" s="6" t="s">
        <v>860</v>
      </c>
      <c r="W79" s="8"/>
      <c r="X79" s="72"/>
      <c r="Y79" s="73"/>
      <c r="AA79" s="53"/>
      <c r="AB79" s="53"/>
      <c r="AC79" s="8"/>
      <c r="AE79" s="92" t="s">
        <v>703</v>
      </c>
      <c r="AH79" s="4">
        <v>400</v>
      </c>
      <c r="AI79" s="10"/>
      <c r="AJ79" s="53"/>
      <c r="AK79" s="10"/>
      <c r="AL79" s="10"/>
      <c r="AM79" s="13"/>
      <c r="AN79" s="10"/>
    </row>
    <row r="80" spans="1:40" ht="31.5" customHeight="1" x14ac:dyDescent="0.35">
      <c r="A80" s="11">
        <v>1404</v>
      </c>
      <c r="D80" s="12" t="s">
        <v>73</v>
      </c>
      <c r="F80" s="45">
        <v>1</v>
      </c>
      <c r="G80" s="4" t="s">
        <v>73</v>
      </c>
      <c r="H80" s="56" t="s">
        <v>949</v>
      </c>
      <c r="I80" s="8" t="s">
        <v>260</v>
      </c>
      <c r="J80" s="8" t="s">
        <v>261</v>
      </c>
      <c r="K80" s="8"/>
      <c r="L80" s="8"/>
      <c r="M80" s="8"/>
      <c r="N80" s="8"/>
      <c r="O80" s="8"/>
      <c r="P80" s="8"/>
      <c r="Q80" s="8"/>
      <c r="R80" s="8"/>
      <c r="S80" s="8"/>
      <c r="T80" s="64"/>
      <c r="U80" s="51"/>
      <c r="V80" s="6">
        <v>45105</v>
      </c>
      <c r="W80" s="6">
        <v>45105</v>
      </c>
      <c r="X80" s="72" t="s">
        <v>950</v>
      </c>
      <c r="Y80" s="73"/>
      <c r="Z80" s="74">
        <v>61012.75</v>
      </c>
      <c r="AA80" s="10"/>
      <c r="AB80" s="10"/>
      <c r="AC80" s="74"/>
      <c r="AD80" s="74"/>
      <c r="AE80" s="65" t="s">
        <v>951</v>
      </c>
      <c r="AF80" s="13"/>
      <c r="AH80" s="4">
        <v>400</v>
      </c>
      <c r="AI80" s="13"/>
      <c r="AJ80" s="53"/>
      <c r="AK80" s="13"/>
      <c r="AL80" s="13"/>
      <c r="AM80" s="10"/>
      <c r="AN80" s="10"/>
    </row>
    <row r="81" spans="1:40" ht="31.5" customHeight="1" x14ac:dyDescent="0.35">
      <c r="A81" s="11">
        <v>1409</v>
      </c>
      <c r="D81" s="4" t="s">
        <v>591</v>
      </c>
      <c r="F81" s="45">
        <v>0</v>
      </c>
      <c r="G81" s="12"/>
      <c r="H81" s="56" t="s">
        <v>952</v>
      </c>
      <c r="I81" s="8" t="s">
        <v>681</v>
      </c>
      <c r="J81" s="4" t="s">
        <v>682</v>
      </c>
      <c r="K81" s="44"/>
      <c r="L81" s="44"/>
      <c r="N81" s="44"/>
      <c r="O81" s="44"/>
      <c r="P81" s="44"/>
      <c r="Q81" s="44"/>
      <c r="R81" s="44" t="s">
        <v>51</v>
      </c>
      <c r="S81" s="44"/>
      <c r="T81" s="64"/>
      <c r="U81" s="51"/>
      <c r="W81" s="51"/>
      <c r="X81" s="155"/>
      <c r="Y81" s="6"/>
      <c r="Z81" s="10"/>
      <c r="AA81" s="10"/>
      <c r="AB81" s="10"/>
      <c r="AC81" s="5"/>
      <c r="AD81" s="10"/>
      <c r="AE81" s="110" t="s">
        <v>683</v>
      </c>
      <c r="AF81" s="10"/>
      <c r="AI81" s="10"/>
      <c r="AJ81" s="53"/>
      <c r="AK81" s="10"/>
      <c r="AL81" s="10"/>
      <c r="AM81" s="10"/>
      <c r="AN81" s="54"/>
    </row>
    <row r="82" spans="1:40" ht="31.5" customHeight="1" x14ac:dyDescent="0.35">
      <c r="A82" s="11">
        <v>1414</v>
      </c>
      <c r="D82" s="12" t="s">
        <v>73</v>
      </c>
      <c r="F82" s="45">
        <v>1</v>
      </c>
      <c r="G82" s="4" t="s">
        <v>73</v>
      </c>
      <c r="H82" s="56" t="s">
        <v>684</v>
      </c>
      <c r="I82" s="8">
        <v>307901750</v>
      </c>
      <c r="J82" s="8" t="s">
        <v>534</v>
      </c>
      <c r="K82" s="8"/>
      <c r="L82" s="8"/>
      <c r="M82" s="8"/>
      <c r="N82" s="8"/>
      <c r="O82" s="8"/>
      <c r="P82" s="8"/>
      <c r="Q82" s="8"/>
      <c r="R82" s="8" t="s">
        <v>51</v>
      </c>
      <c r="S82" s="8"/>
      <c r="T82" s="64"/>
      <c r="U82" s="51"/>
      <c r="V82" s="6">
        <v>45105</v>
      </c>
      <c r="W82" s="6">
        <v>45105</v>
      </c>
      <c r="X82" s="72" t="s">
        <v>685</v>
      </c>
      <c r="Y82" s="73"/>
      <c r="Z82" s="74">
        <v>0</v>
      </c>
      <c r="AA82" s="10"/>
      <c r="AB82" s="10"/>
      <c r="AC82" s="74"/>
      <c r="AD82" s="74"/>
      <c r="AE82" s="65" t="s">
        <v>686</v>
      </c>
      <c r="AF82" s="13" t="s">
        <v>687</v>
      </c>
      <c r="AH82" s="4">
        <v>400</v>
      </c>
      <c r="AI82" s="10"/>
      <c r="AJ82" s="53"/>
      <c r="AK82" s="10"/>
      <c r="AL82" s="10"/>
      <c r="AM82" s="64"/>
      <c r="AN82" s="10"/>
    </row>
    <row r="83" spans="1:40" ht="31.5" customHeight="1" x14ac:dyDescent="0.35">
      <c r="A83" s="11">
        <v>1415</v>
      </c>
      <c r="D83" s="4" t="s">
        <v>953</v>
      </c>
      <c r="F83" s="45">
        <v>0</v>
      </c>
      <c r="G83" s="12"/>
      <c r="H83" s="56" t="s">
        <v>954</v>
      </c>
      <c r="I83" s="8">
        <v>310947561</v>
      </c>
      <c r="J83" s="4" t="s">
        <v>269</v>
      </c>
      <c r="K83" s="44"/>
      <c r="L83" s="44"/>
      <c r="N83" s="44"/>
      <c r="O83" s="44"/>
      <c r="P83" s="44"/>
      <c r="Q83" s="44"/>
      <c r="R83" s="44" t="s">
        <v>51</v>
      </c>
      <c r="S83" s="44" t="s">
        <v>51</v>
      </c>
      <c r="W83" s="51"/>
      <c r="X83" s="155"/>
      <c r="Y83" s="155"/>
      <c r="Z83" s="10"/>
      <c r="AA83" s="10"/>
      <c r="AB83" s="10"/>
      <c r="AC83" s="5"/>
      <c r="AD83" s="10"/>
      <c r="AE83" s="104"/>
      <c r="AF83" s="10"/>
      <c r="AI83" s="64"/>
      <c r="AJ83" s="64"/>
      <c r="AK83" s="64"/>
      <c r="AL83" s="64"/>
      <c r="AM83" s="13"/>
      <c r="AN83" s="10"/>
    </row>
    <row r="84" spans="1:40" ht="31.5" customHeight="1" x14ac:dyDescent="0.35">
      <c r="A84" s="11">
        <v>1419</v>
      </c>
      <c r="B84" s="59">
        <v>2021</v>
      </c>
      <c r="C84" s="67" t="s">
        <v>617</v>
      </c>
      <c r="D84" s="4" t="s">
        <v>73</v>
      </c>
      <c r="F84" s="45">
        <v>1</v>
      </c>
      <c r="G84" s="46" t="s">
        <v>73</v>
      </c>
      <c r="H84" s="156" t="s">
        <v>955</v>
      </c>
      <c r="I84" s="4">
        <v>298903342</v>
      </c>
      <c r="J84" s="4" t="s">
        <v>956</v>
      </c>
      <c r="K84" s="4" t="s">
        <v>957</v>
      </c>
      <c r="L84" s="4">
        <v>220818843</v>
      </c>
      <c r="M84" s="44" t="s">
        <v>958</v>
      </c>
      <c r="T84" s="64"/>
      <c r="U84" s="51"/>
      <c r="V84" s="6">
        <v>45082</v>
      </c>
      <c r="W84" s="6">
        <v>45082</v>
      </c>
      <c r="X84" s="72" t="s">
        <v>959</v>
      </c>
      <c r="Y84" s="73"/>
      <c r="Z84" s="40">
        <v>437.64</v>
      </c>
      <c r="AA84" s="64"/>
      <c r="AB84" s="64"/>
      <c r="AC84" s="12"/>
      <c r="AD84" s="12"/>
      <c r="AE84" s="65" t="s">
        <v>960</v>
      </c>
      <c r="AF84" s="10" t="s">
        <v>961</v>
      </c>
      <c r="AH84" s="4">
        <v>400</v>
      </c>
      <c r="AI84" s="64"/>
      <c r="AJ84" s="51"/>
      <c r="AK84" s="64"/>
      <c r="AL84" s="64"/>
      <c r="AM84" s="10"/>
    </row>
    <row r="85" spans="1:40" ht="31.5" customHeight="1" x14ac:dyDescent="0.35">
      <c r="A85" s="11">
        <v>1421</v>
      </c>
      <c r="D85" s="4" t="s">
        <v>591</v>
      </c>
      <c r="F85" s="45">
        <v>0</v>
      </c>
      <c r="G85" s="12" t="s">
        <v>629</v>
      </c>
      <c r="H85" s="56" t="s">
        <v>962</v>
      </c>
      <c r="I85" s="8" t="s">
        <v>963</v>
      </c>
      <c r="J85" s="8" t="s">
        <v>964</v>
      </c>
      <c r="K85" s="4" t="s">
        <v>965</v>
      </c>
      <c r="L85" s="8" t="s">
        <v>966</v>
      </c>
      <c r="M85" s="8" t="s">
        <v>967</v>
      </c>
      <c r="N85" s="8"/>
      <c r="O85" s="8"/>
      <c r="P85" s="8"/>
      <c r="Q85" s="8"/>
      <c r="R85" s="8"/>
      <c r="S85" s="8"/>
      <c r="W85" s="64"/>
      <c r="X85" s="155"/>
      <c r="Y85" s="6"/>
      <c r="Z85" s="10"/>
      <c r="AA85" s="10"/>
      <c r="AB85" s="10"/>
      <c r="AC85" s="5"/>
      <c r="AD85" s="10"/>
      <c r="AE85" s="104"/>
      <c r="AF85" s="10"/>
      <c r="AI85" s="13"/>
      <c r="AJ85" s="53"/>
      <c r="AK85" s="13"/>
      <c r="AL85" s="13"/>
      <c r="AM85" s="10"/>
      <c r="AN85" s="10"/>
    </row>
    <row r="86" spans="1:40" ht="31.5" customHeight="1" x14ac:dyDescent="0.35">
      <c r="A86" s="11">
        <v>1423</v>
      </c>
      <c r="B86" s="59">
        <v>2021</v>
      </c>
      <c r="C86" s="157" t="s">
        <v>617</v>
      </c>
      <c r="D86" s="4" t="s">
        <v>73</v>
      </c>
      <c r="F86" s="45">
        <v>1</v>
      </c>
      <c r="G86" s="46" t="s">
        <v>73</v>
      </c>
      <c r="H86" s="152" t="s">
        <v>968</v>
      </c>
      <c r="I86" s="8" t="s">
        <v>272</v>
      </c>
      <c r="J86" s="8" t="s">
        <v>273</v>
      </c>
      <c r="K86" s="66"/>
      <c r="L86" s="66"/>
      <c r="M86" s="8"/>
      <c r="N86" s="66"/>
      <c r="O86" s="66"/>
      <c r="P86" s="66"/>
      <c r="Q86" s="66"/>
      <c r="R86" s="66"/>
      <c r="S86" s="66"/>
      <c r="T86" s="64"/>
      <c r="V86" s="6" t="s">
        <v>969</v>
      </c>
      <c r="W86" s="8" t="s">
        <v>970</v>
      </c>
      <c r="X86" s="72" t="s">
        <v>971</v>
      </c>
      <c r="Y86" s="73"/>
      <c r="Z86" s="54">
        <v>11656.97</v>
      </c>
      <c r="AA86" s="64"/>
      <c r="AB86" s="158"/>
      <c r="AC86" s="6">
        <v>45037</v>
      </c>
      <c r="AD86" s="12"/>
      <c r="AE86" s="11" t="s">
        <v>972</v>
      </c>
      <c r="AF86" s="13"/>
      <c r="AH86" s="4">
        <v>400</v>
      </c>
      <c r="AI86" s="10"/>
      <c r="AJ86" s="53"/>
      <c r="AK86" s="10"/>
      <c r="AL86" s="10"/>
      <c r="AN86" s="54"/>
    </row>
    <row r="87" spans="1:40" ht="31.5" customHeight="1" x14ac:dyDescent="0.35">
      <c r="A87" s="11">
        <v>1424</v>
      </c>
      <c r="B87" s="4">
        <v>2021</v>
      </c>
      <c r="C87" s="67" t="s">
        <v>617</v>
      </c>
      <c r="D87" s="4" t="s">
        <v>591</v>
      </c>
      <c r="F87" s="45">
        <v>0</v>
      </c>
      <c r="G87" s="46"/>
      <c r="H87" s="152" t="s">
        <v>973</v>
      </c>
      <c r="I87" s="4">
        <v>305122215</v>
      </c>
      <c r="J87" s="4" t="s">
        <v>974</v>
      </c>
      <c r="K87" s="44"/>
      <c r="L87" s="44"/>
      <c r="N87" s="44"/>
      <c r="O87" s="44"/>
      <c r="P87" s="44"/>
      <c r="Q87" s="44"/>
      <c r="R87" s="44"/>
      <c r="S87" s="44"/>
      <c r="T87" s="64"/>
      <c r="U87" s="51"/>
      <c r="W87" s="51"/>
      <c r="X87" s="126"/>
      <c r="Y87" s="127"/>
      <c r="Z87" s="54"/>
      <c r="AA87" s="158"/>
      <c r="AB87" s="64"/>
      <c r="AC87" s="12"/>
      <c r="AD87" s="64"/>
      <c r="AE87" s="65" t="s">
        <v>975</v>
      </c>
      <c r="AF87" s="64"/>
      <c r="AI87" s="10"/>
      <c r="AJ87" s="53"/>
      <c r="AK87" s="10"/>
      <c r="AL87" s="10"/>
      <c r="AM87" s="13"/>
      <c r="AN87" s="10"/>
    </row>
    <row r="88" spans="1:40" ht="31.5" customHeight="1" x14ac:dyDescent="0.35">
      <c r="A88" s="11">
        <v>1426</v>
      </c>
      <c r="B88" s="59">
        <v>2021</v>
      </c>
      <c r="C88" s="67"/>
      <c r="E88" s="4" t="s">
        <v>976</v>
      </c>
      <c r="F88" s="45">
        <v>1</v>
      </c>
      <c r="G88" s="46" t="s">
        <v>73</v>
      </c>
      <c r="H88" s="56" t="s">
        <v>977</v>
      </c>
      <c r="I88" s="4" t="s">
        <v>978</v>
      </c>
      <c r="J88" s="4" t="s">
        <v>979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51"/>
      <c r="V88" s="6">
        <v>45093</v>
      </c>
      <c r="W88" s="6">
        <v>45093</v>
      </c>
      <c r="X88" s="72" t="s">
        <v>980</v>
      </c>
      <c r="Y88" s="73">
        <v>45138</v>
      </c>
      <c r="Z88" s="40">
        <v>0</v>
      </c>
      <c r="AA88" s="11"/>
      <c r="AB88" s="11"/>
      <c r="AC88" s="159">
        <v>45158</v>
      </c>
      <c r="AD88" s="11"/>
      <c r="AE88" s="13" t="s">
        <v>869</v>
      </c>
      <c r="AF88" s="13"/>
      <c r="AI88" s="4" t="s">
        <v>981</v>
      </c>
      <c r="AM88" s="64"/>
      <c r="AN88" s="10"/>
    </row>
    <row r="89" spans="1:40" ht="31.5" customHeight="1" x14ac:dyDescent="0.35">
      <c r="A89" s="11">
        <v>1429</v>
      </c>
      <c r="F89" s="45">
        <v>1</v>
      </c>
      <c r="G89" s="12" t="s">
        <v>73</v>
      </c>
      <c r="H89" s="156" t="s">
        <v>982</v>
      </c>
      <c r="I89" s="8" t="s">
        <v>983</v>
      </c>
      <c r="J89" s="8" t="s">
        <v>984</v>
      </c>
      <c r="K89" s="12" t="s">
        <v>985</v>
      </c>
      <c r="L89" s="8" t="s">
        <v>986</v>
      </c>
      <c r="M89" s="8"/>
      <c r="N89" s="8"/>
      <c r="O89" s="8"/>
      <c r="P89" s="8"/>
      <c r="Q89" s="8"/>
      <c r="R89" s="8"/>
      <c r="S89" s="8"/>
      <c r="T89" s="4"/>
      <c r="V89" s="6">
        <v>45097</v>
      </c>
      <c r="W89" s="6">
        <v>45097</v>
      </c>
      <c r="X89" s="155">
        <v>20234005931189</v>
      </c>
      <c r="Y89" s="6">
        <v>45138</v>
      </c>
      <c r="Z89" s="10">
        <v>0</v>
      </c>
      <c r="AA89" s="10"/>
      <c r="AB89" s="10"/>
      <c r="AC89" s="63">
        <v>45089</v>
      </c>
      <c r="AD89" s="10"/>
      <c r="AE89" s="13" t="s">
        <v>987</v>
      </c>
      <c r="AF89" s="13"/>
      <c r="AI89" s="13"/>
      <c r="AJ89" s="53"/>
      <c r="AK89" s="13"/>
      <c r="AL89" s="13"/>
      <c r="AM89" s="10"/>
      <c r="AN89" s="54"/>
    </row>
    <row r="90" spans="1:40" ht="31.5" customHeight="1" x14ac:dyDescent="0.35">
      <c r="A90" s="11">
        <v>1433</v>
      </c>
      <c r="D90" s="4" t="s">
        <v>73</v>
      </c>
      <c r="E90" s="4" t="s">
        <v>646</v>
      </c>
      <c r="F90" s="45">
        <v>1</v>
      </c>
      <c r="G90" s="12" t="s">
        <v>73</v>
      </c>
      <c r="H90" s="156" t="s">
        <v>988</v>
      </c>
      <c r="I90" s="8" t="s">
        <v>989</v>
      </c>
      <c r="J90" s="8" t="s">
        <v>990</v>
      </c>
      <c r="K90" s="12" t="s">
        <v>991</v>
      </c>
      <c r="L90" s="8" t="s">
        <v>992</v>
      </c>
      <c r="M90" s="8"/>
      <c r="N90" s="8"/>
      <c r="O90" s="8"/>
      <c r="P90" s="8"/>
      <c r="Q90" s="8"/>
      <c r="R90" s="8" t="s">
        <v>51</v>
      </c>
      <c r="S90" s="8"/>
      <c r="T90" s="4"/>
      <c r="V90" s="6">
        <v>45099</v>
      </c>
      <c r="W90" s="6">
        <v>45099</v>
      </c>
      <c r="X90" s="160">
        <v>20234005937613</v>
      </c>
      <c r="Y90" s="6"/>
      <c r="Z90" s="40">
        <v>0</v>
      </c>
      <c r="AA90" s="10"/>
      <c r="AB90" s="10"/>
      <c r="AC90" s="74"/>
      <c r="AD90" s="74"/>
      <c r="AE90" s="13" t="s">
        <v>993</v>
      </c>
      <c r="AF90" s="13" t="s">
        <v>687</v>
      </c>
      <c r="AH90" s="4">
        <v>400</v>
      </c>
      <c r="AI90" s="64"/>
      <c r="AJ90" s="51"/>
      <c r="AK90" s="64"/>
      <c r="AL90" s="64"/>
      <c r="AM90" s="10"/>
      <c r="AN90" s="54"/>
    </row>
    <row r="91" spans="1:40" ht="31.5" customHeight="1" x14ac:dyDescent="0.35">
      <c r="A91" s="11">
        <v>1440</v>
      </c>
      <c r="F91" s="45">
        <v>1</v>
      </c>
      <c r="G91" s="46" t="s">
        <v>73</v>
      </c>
      <c r="H91" s="61" t="s">
        <v>994</v>
      </c>
      <c r="I91" s="8" t="s">
        <v>995</v>
      </c>
      <c r="J91" s="8" t="s">
        <v>996</v>
      </c>
      <c r="K91" s="8"/>
      <c r="L91" s="8"/>
      <c r="M91" s="8"/>
      <c r="N91" s="8"/>
      <c r="O91" s="8" t="s">
        <v>61</v>
      </c>
      <c r="P91" s="8"/>
      <c r="Q91" s="8"/>
      <c r="R91" s="8"/>
      <c r="S91" s="8"/>
      <c r="V91" s="6">
        <v>45082</v>
      </c>
      <c r="W91" s="64"/>
      <c r="X91" s="72" t="s">
        <v>997</v>
      </c>
      <c r="Y91" s="73"/>
      <c r="Z91" s="40">
        <v>1312.5</v>
      </c>
      <c r="AA91" s="10"/>
      <c r="AB91" s="10"/>
      <c r="AC91" s="74"/>
      <c r="AD91" s="10"/>
      <c r="AE91" s="105"/>
      <c r="AF91" s="13" t="s">
        <v>687</v>
      </c>
      <c r="AI91" s="10"/>
      <c r="AJ91" s="53"/>
      <c r="AK91" s="10"/>
      <c r="AL91" s="10"/>
      <c r="AM91" s="64"/>
      <c r="AN91" s="10"/>
    </row>
    <row r="92" spans="1:40" ht="31.5" customHeight="1" x14ac:dyDescent="0.35">
      <c r="A92" s="11">
        <v>1463</v>
      </c>
      <c r="D92" s="4" t="s">
        <v>73</v>
      </c>
      <c r="F92" s="45">
        <v>1</v>
      </c>
      <c r="G92" s="46" t="s">
        <v>73</v>
      </c>
      <c r="H92" s="61" t="s">
        <v>286</v>
      </c>
      <c r="I92" s="8" t="s">
        <v>287</v>
      </c>
      <c r="J92" s="8" t="s">
        <v>288</v>
      </c>
      <c r="K92" s="8"/>
      <c r="L92" s="8"/>
      <c r="M92" s="8"/>
      <c r="N92" s="8"/>
      <c r="O92" s="8"/>
      <c r="P92" s="8"/>
      <c r="Q92" s="8"/>
      <c r="R92" s="8"/>
      <c r="S92" s="8"/>
      <c r="V92" s="6">
        <v>45064</v>
      </c>
      <c r="W92" s="6">
        <v>45064</v>
      </c>
      <c r="X92" s="72" t="s">
        <v>998</v>
      </c>
      <c r="Y92" s="73"/>
      <c r="Z92" s="40">
        <v>36253.550000000003</v>
      </c>
      <c r="AA92" s="10"/>
      <c r="AB92" s="10"/>
      <c r="AC92" s="74" t="s">
        <v>73</v>
      </c>
      <c r="AD92" s="63">
        <v>45050</v>
      </c>
      <c r="AE92" s="65" t="s">
        <v>999</v>
      </c>
      <c r="AF92" s="13" t="s">
        <v>678</v>
      </c>
      <c r="AG92" s="6">
        <v>45145</v>
      </c>
      <c r="AH92" s="4">
        <v>350</v>
      </c>
      <c r="AI92" s="10"/>
      <c r="AJ92" s="53"/>
      <c r="AK92" s="10" t="s">
        <v>1</v>
      </c>
      <c r="AL92" s="10">
        <v>0</v>
      </c>
      <c r="AM92" s="11" t="s">
        <v>1000</v>
      </c>
      <c r="AN92" s="10">
        <v>36253.550000000003</v>
      </c>
    </row>
    <row r="93" spans="1:40" ht="31.5" customHeight="1" x14ac:dyDescent="0.35">
      <c r="A93" s="161">
        <v>1466</v>
      </c>
      <c r="C93" s="60"/>
      <c r="D93" s="162"/>
      <c r="F93" s="45">
        <v>1</v>
      </c>
      <c r="G93" s="46" t="s">
        <v>73</v>
      </c>
      <c r="H93" s="61" t="s">
        <v>291</v>
      </c>
      <c r="I93" s="4">
        <v>309997917</v>
      </c>
      <c r="J93" s="12" t="s">
        <v>1001</v>
      </c>
      <c r="K93" s="12"/>
      <c r="L93" s="12"/>
      <c r="M93" s="12"/>
      <c r="N93" s="12"/>
      <c r="O93" s="12"/>
      <c r="P93" s="12"/>
      <c r="Q93" s="12"/>
      <c r="R93" s="12"/>
      <c r="S93" s="12"/>
      <c r="T93" s="4"/>
      <c r="V93" s="6">
        <v>45073</v>
      </c>
      <c r="X93" s="72" t="s">
        <v>1002</v>
      </c>
      <c r="Y93" s="73"/>
      <c r="Z93" s="40">
        <v>0</v>
      </c>
      <c r="AA93" s="64"/>
      <c r="AB93" s="64"/>
      <c r="AC93" s="12"/>
      <c r="AD93" s="64"/>
      <c r="AE93" s="105" t="s">
        <v>700</v>
      </c>
      <c r="AF93" s="13" t="s">
        <v>678</v>
      </c>
      <c r="AG93" s="4">
        <v>200</v>
      </c>
      <c r="AI93" s="64"/>
      <c r="AJ93" s="51"/>
      <c r="AK93" s="64"/>
      <c r="AL93" s="64"/>
      <c r="AM93" s="10"/>
      <c r="AN93" s="10"/>
    </row>
    <row r="94" spans="1:40" ht="31.5" customHeight="1" x14ac:dyDescent="0.35">
      <c r="A94" s="11">
        <v>1468</v>
      </c>
      <c r="D94" s="4" t="s">
        <v>73</v>
      </c>
      <c r="F94" s="12">
        <v>0</v>
      </c>
      <c r="G94" s="12" t="s">
        <v>13</v>
      </c>
      <c r="H94" s="61" t="s">
        <v>1003</v>
      </c>
      <c r="I94" s="8" t="s">
        <v>294</v>
      </c>
      <c r="J94" s="8" t="s">
        <v>1004</v>
      </c>
      <c r="K94" s="8"/>
      <c r="L94" s="8"/>
      <c r="M94" s="8"/>
      <c r="N94" s="8"/>
      <c r="O94" s="8"/>
      <c r="P94" s="8"/>
      <c r="Q94" s="8"/>
      <c r="R94" s="8" t="s">
        <v>51</v>
      </c>
      <c r="S94" s="8" t="s">
        <v>51</v>
      </c>
      <c r="W94" s="64"/>
      <c r="X94" s="155"/>
      <c r="Y94" s="6"/>
      <c r="Z94" s="10"/>
      <c r="AA94" s="10"/>
      <c r="AB94" s="10"/>
      <c r="AC94" s="74"/>
      <c r="AD94" s="74"/>
      <c r="AE94" s="92" t="s">
        <v>703</v>
      </c>
      <c r="AF94" s="10"/>
      <c r="AH94" s="4">
        <v>400</v>
      </c>
      <c r="AI94" s="11"/>
      <c r="AJ94" s="51"/>
      <c r="AK94" s="11"/>
      <c r="AL94" s="11"/>
      <c r="AM94" s="13"/>
      <c r="AN94" s="54"/>
    </row>
    <row r="95" spans="1:40" ht="31.5" customHeight="1" x14ac:dyDescent="0.35">
      <c r="A95" s="11">
        <v>1471</v>
      </c>
      <c r="D95" s="4" t="s">
        <v>73</v>
      </c>
      <c r="E95" s="4" t="s">
        <v>852</v>
      </c>
      <c r="F95" s="45">
        <v>1</v>
      </c>
      <c r="G95" s="12" t="s">
        <v>73</v>
      </c>
      <c r="H95" s="56" t="s">
        <v>792</v>
      </c>
      <c r="I95" s="68" t="s">
        <v>301</v>
      </c>
      <c r="J95" s="68" t="s">
        <v>302</v>
      </c>
      <c r="K95" s="68"/>
      <c r="L95" s="68"/>
      <c r="M95" s="68"/>
      <c r="N95" s="68" t="s">
        <v>182</v>
      </c>
      <c r="O95" s="68"/>
      <c r="P95" s="68" t="s">
        <v>51</v>
      </c>
      <c r="Q95" s="68"/>
      <c r="R95" s="68"/>
      <c r="S95" s="68"/>
      <c r="V95" s="6">
        <v>45095</v>
      </c>
      <c r="W95" s="6">
        <v>45095</v>
      </c>
      <c r="X95" s="155">
        <v>20235005927852</v>
      </c>
      <c r="Y95" s="6">
        <v>45138</v>
      </c>
      <c r="Z95" s="74">
        <v>7445.29</v>
      </c>
      <c r="AA95" s="10"/>
      <c r="AB95" s="10"/>
      <c r="AC95" s="74" t="s">
        <v>73</v>
      </c>
      <c r="AD95" s="63">
        <v>45020</v>
      </c>
      <c r="AE95" s="74"/>
      <c r="AF95" s="13" t="s">
        <v>678</v>
      </c>
      <c r="AH95" s="4">
        <v>400</v>
      </c>
      <c r="AI95" s="4" t="s">
        <v>591</v>
      </c>
      <c r="AJ95" s="13"/>
      <c r="AK95" s="13" t="s">
        <v>99</v>
      </c>
      <c r="AL95" s="163"/>
      <c r="AM95" s="13" t="s">
        <v>679</v>
      </c>
      <c r="AN95" s="10">
        <v>7445.29</v>
      </c>
    </row>
    <row r="96" spans="1:40" ht="31.5" customHeight="1" x14ac:dyDescent="0.35">
      <c r="A96" s="161">
        <v>1472</v>
      </c>
      <c r="C96" s="60"/>
      <c r="D96" s="162"/>
      <c r="E96" s="4" t="s">
        <v>852</v>
      </c>
      <c r="F96" s="45">
        <v>1</v>
      </c>
      <c r="G96" s="46" t="s">
        <v>73</v>
      </c>
      <c r="H96" s="61" t="s">
        <v>305</v>
      </c>
      <c r="I96" s="4" t="s">
        <v>306</v>
      </c>
      <c r="J96" s="12" t="s">
        <v>307</v>
      </c>
      <c r="K96" s="12"/>
      <c r="L96" s="12"/>
      <c r="M96" s="12"/>
      <c r="N96" s="12"/>
      <c r="O96" s="12" t="s">
        <v>51</v>
      </c>
      <c r="P96" s="12"/>
      <c r="Q96" s="12"/>
      <c r="R96" s="12"/>
      <c r="S96" s="12"/>
      <c r="T96" s="4"/>
      <c r="V96" s="6">
        <v>45100</v>
      </c>
      <c r="X96" s="62" t="s">
        <v>1005</v>
      </c>
      <c r="Z96" s="40">
        <v>3371.64</v>
      </c>
      <c r="AA96" s="64"/>
      <c r="AB96" s="64"/>
      <c r="AC96" s="12"/>
      <c r="AD96" s="64"/>
      <c r="AE96" s="65"/>
      <c r="AF96" s="13" t="s">
        <v>678</v>
      </c>
      <c r="AI96" s="13"/>
      <c r="AJ96" s="53"/>
      <c r="AK96" s="13"/>
      <c r="AL96" s="13"/>
      <c r="AM96" s="64"/>
      <c r="AN96" s="54"/>
    </row>
    <row r="97" spans="1:35" ht="31.5" customHeight="1" x14ac:dyDescent="0.35">
      <c r="A97" s="11">
        <v>1484</v>
      </c>
      <c r="D97" s="4" t="s">
        <v>73</v>
      </c>
      <c r="F97" s="164">
        <v>1</v>
      </c>
      <c r="G97" s="165" t="s">
        <v>73</v>
      </c>
      <c r="H97" s="56" t="s">
        <v>1006</v>
      </c>
      <c r="I97" s="8" t="s">
        <v>1007</v>
      </c>
      <c r="J97" s="8" t="s">
        <v>1008</v>
      </c>
      <c r="K97" s="4" t="s">
        <v>1009</v>
      </c>
      <c r="L97" s="8" t="s">
        <v>1010</v>
      </c>
      <c r="M97" s="8" t="s">
        <v>1011</v>
      </c>
      <c r="N97" s="8"/>
      <c r="O97" s="8"/>
      <c r="P97" s="8"/>
      <c r="Q97" s="8"/>
      <c r="R97" s="8"/>
      <c r="S97" s="8"/>
      <c r="T97" s="11"/>
      <c r="U97" s="51"/>
      <c r="V97" s="6">
        <v>45097</v>
      </c>
      <c r="W97" s="6">
        <v>45097</v>
      </c>
      <c r="X97" s="126" t="s">
        <v>1012</v>
      </c>
      <c r="Y97" s="127"/>
      <c r="Z97" s="40">
        <v>0</v>
      </c>
      <c r="AA97" s="11"/>
      <c r="AB97" s="11"/>
      <c r="AD97" s="4"/>
      <c r="AE97" s="65" t="s">
        <v>1013</v>
      </c>
      <c r="AF97" s="13" t="s">
        <v>678</v>
      </c>
      <c r="AH97" s="4">
        <v>400</v>
      </c>
      <c r="AI97" s="13"/>
    </row>
    <row r="98" spans="1:35" ht="31.5" customHeight="1" x14ac:dyDescent="0.35">
      <c r="A98" s="11" t="s">
        <v>1014</v>
      </c>
      <c r="D98" s="4" t="s">
        <v>73</v>
      </c>
      <c r="F98" s="64"/>
      <c r="G98" s="12" t="s">
        <v>13</v>
      </c>
      <c r="H98" s="94" t="s">
        <v>316</v>
      </c>
      <c r="I98" s="8" t="s">
        <v>317</v>
      </c>
      <c r="J98" s="8" t="s">
        <v>318</v>
      </c>
      <c r="K98" s="8"/>
      <c r="L98" s="8"/>
      <c r="M98" s="8"/>
      <c r="N98" s="8"/>
      <c r="O98" s="8"/>
      <c r="P98" s="8"/>
      <c r="Q98" s="8"/>
      <c r="R98" s="8"/>
      <c r="S98" s="8"/>
      <c r="T98" s="8" t="s">
        <v>182</v>
      </c>
      <c r="U98" s="6" t="s">
        <v>871</v>
      </c>
      <c r="V98" s="6">
        <v>45284</v>
      </c>
      <c r="W98" s="64"/>
      <c r="X98" s="155"/>
      <c r="Y98" s="6"/>
      <c r="Z98" s="10"/>
      <c r="AA98" s="10"/>
      <c r="AB98" s="10"/>
      <c r="AC98" s="74"/>
      <c r="AD98" s="74"/>
      <c r="AE98" s="92" t="s">
        <v>849</v>
      </c>
      <c r="AF98" s="10"/>
      <c r="AH98" s="4">
        <v>400</v>
      </c>
      <c r="AI98" s="64"/>
    </row>
    <row r="99" spans="1:35" ht="31.5" customHeight="1" x14ac:dyDescent="0.35">
      <c r="A99" s="11">
        <v>1501</v>
      </c>
      <c r="D99" s="4" t="s">
        <v>73</v>
      </c>
      <c r="F99" s="164">
        <v>1</v>
      </c>
      <c r="G99" s="165" t="s">
        <v>73</v>
      </c>
      <c r="H99" s="56" t="s">
        <v>338</v>
      </c>
      <c r="I99" s="8" t="s">
        <v>340</v>
      </c>
      <c r="J99" s="8" t="s">
        <v>1015</v>
      </c>
      <c r="L99" s="8"/>
      <c r="M99" s="8"/>
      <c r="N99" s="8"/>
      <c r="O99" s="8" t="s">
        <v>61</v>
      </c>
      <c r="P99" s="8"/>
      <c r="Q99" s="8"/>
      <c r="R99" s="8" t="s">
        <v>51</v>
      </c>
      <c r="S99" s="8" t="s">
        <v>51</v>
      </c>
      <c r="T99" s="11"/>
      <c r="U99" s="51"/>
      <c r="V99" s="6">
        <v>45105</v>
      </c>
      <c r="W99" s="6">
        <v>45105</v>
      </c>
      <c r="X99" s="72" t="s">
        <v>1016</v>
      </c>
      <c r="Y99" s="73"/>
      <c r="Z99" s="40">
        <v>0</v>
      </c>
      <c r="AA99" s="11"/>
      <c r="AB99" s="11"/>
      <c r="AC99" s="6">
        <v>45105</v>
      </c>
      <c r="AD99" s="4"/>
      <c r="AE99" s="65" t="s">
        <v>1017</v>
      </c>
      <c r="AF99" s="13" t="s">
        <v>678</v>
      </c>
      <c r="AH99" s="4">
        <v>400</v>
      </c>
      <c r="AI99" s="13"/>
    </row>
    <row r="100" spans="1:35" ht="31.5" customHeight="1" x14ac:dyDescent="0.35">
      <c r="A100" s="161">
        <v>1517</v>
      </c>
      <c r="C100" s="60"/>
      <c r="D100" s="98" t="s">
        <v>73</v>
      </c>
      <c r="F100" s="45">
        <v>1</v>
      </c>
      <c r="G100" s="46" t="s">
        <v>73</v>
      </c>
      <c r="H100" s="61" t="s">
        <v>1018</v>
      </c>
      <c r="I100" s="4">
        <v>292784619</v>
      </c>
      <c r="J100" s="12" t="s">
        <v>358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4">
        <v>311474160</v>
      </c>
      <c r="U100" s="6" t="s">
        <v>1019</v>
      </c>
      <c r="V100" s="6">
        <v>45103</v>
      </c>
      <c r="W100" s="6">
        <v>45103</v>
      </c>
      <c r="X100" s="72" t="s">
        <v>1020</v>
      </c>
      <c r="Y100" s="73"/>
      <c r="Z100" s="40" t="s">
        <v>1021</v>
      </c>
      <c r="AA100" s="64"/>
      <c r="AB100" s="64"/>
      <c r="AC100" s="12"/>
      <c r="AD100" s="12"/>
      <c r="AE100" s="65" t="s">
        <v>1013</v>
      </c>
      <c r="AF100" s="13" t="s">
        <v>678</v>
      </c>
      <c r="AH100" s="4">
        <v>400</v>
      </c>
      <c r="AI100" s="64"/>
    </row>
    <row r="101" spans="1:35" ht="31.5" customHeight="1" x14ac:dyDescent="0.35">
      <c r="A101" s="161">
        <v>1509</v>
      </c>
      <c r="C101" s="60"/>
      <c r="D101" s="98" t="s">
        <v>73</v>
      </c>
      <c r="F101" s="45">
        <v>1</v>
      </c>
      <c r="G101" s="46" t="s">
        <v>73</v>
      </c>
      <c r="H101" s="61" t="s">
        <v>721</v>
      </c>
      <c r="I101" s="4">
        <v>285799932</v>
      </c>
      <c r="J101" s="12" t="s">
        <v>722</v>
      </c>
      <c r="K101" s="12"/>
      <c r="L101" s="12"/>
      <c r="M101" s="12"/>
      <c r="N101" s="12"/>
      <c r="O101" s="12" t="s">
        <v>51</v>
      </c>
      <c r="P101" s="12"/>
      <c r="Q101" s="12"/>
      <c r="R101" s="12"/>
      <c r="S101" s="12"/>
      <c r="T101" s="4"/>
      <c r="V101" s="6">
        <v>45090</v>
      </c>
      <c r="W101" s="6">
        <v>45090</v>
      </c>
      <c r="X101" s="40" t="s">
        <v>1022</v>
      </c>
      <c r="Y101" s="6"/>
      <c r="Z101" s="166">
        <v>3818.66</v>
      </c>
      <c r="AA101" s="64"/>
      <c r="AB101" s="64"/>
      <c r="AC101" s="12" t="s">
        <v>73</v>
      </c>
      <c r="AD101" s="63">
        <v>45030</v>
      </c>
      <c r="AE101" s="65" t="s">
        <v>1023</v>
      </c>
      <c r="AF101" s="64" t="s">
        <v>687</v>
      </c>
      <c r="AH101" s="4">
        <v>400</v>
      </c>
      <c r="AI101" s="64"/>
    </row>
    <row r="102" spans="1:35" ht="31.5" customHeight="1" x14ac:dyDescent="0.35">
      <c r="A102" s="161">
        <v>1537</v>
      </c>
      <c r="C102" s="60"/>
      <c r="D102" s="98" t="s">
        <v>73</v>
      </c>
      <c r="F102" s="45">
        <v>1</v>
      </c>
      <c r="G102" s="46" t="s">
        <v>73</v>
      </c>
      <c r="H102" s="61" t="s">
        <v>370</v>
      </c>
      <c r="I102" s="4">
        <v>309094054</v>
      </c>
      <c r="J102" s="12" t="s">
        <v>371</v>
      </c>
      <c r="K102" s="12" t="s">
        <v>373</v>
      </c>
      <c r="L102" s="12">
        <v>309094321</v>
      </c>
      <c r="M102" s="12" t="s">
        <v>735</v>
      </c>
      <c r="N102" s="12"/>
      <c r="O102" s="12"/>
      <c r="P102" s="12"/>
      <c r="Q102" s="12"/>
      <c r="R102" s="12" t="s">
        <v>51</v>
      </c>
      <c r="S102" s="12" t="s">
        <v>51</v>
      </c>
      <c r="T102" s="4"/>
      <c r="X102" s="72" t="s">
        <v>736</v>
      </c>
      <c r="Y102" s="73"/>
      <c r="Z102" s="40">
        <v>0</v>
      </c>
      <c r="AA102" s="64"/>
      <c r="AB102" s="64"/>
      <c r="AC102" s="12" t="s">
        <v>73</v>
      </c>
      <c r="AD102" s="12" t="s">
        <v>1024</v>
      </c>
      <c r="AE102" s="65" t="s">
        <v>737</v>
      </c>
      <c r="AF102" s="64" t="s">
        <v>687</v>
      </c>
      <c r="AH102" s="4">
        <v>400</v>
      </c>
      <c r="AI102" s="64"/>
    </row>
    <row r="103" spans="1:35" ht="31.5" customHeight="1" x14ac:dyDescent="0.35">
      <c r="A103" s="161"/>
      <c r="C103" s="60"/>
      <c r="D103" s="162"/>
      <c r="H103" s="167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4"/>
      <c r="W103" s="51"/>
      <c r="X103" s="155"/>
      <c r="Y103" s="6"/>
      <c r="Z103" s="54"/>
      <c r="AA103" s="64"/>
      <c r="AB103" s="64"/>
      <c r="AD103" s="12"/>
      <c r="AE103" s="104"/>
      <c r="AF103" s="64"/>
      <c r="AH103" s="4">
        <f>SUBTOTAL(9,AH21:AH102)</f>
        <v>15900</v>
      </c>
      <c r="AI103" s="64"/>
    </row>
    <row r="104" spans="1:35" ht="31.5" customHeight="1" x14ac:dyDescent="0.35">
      <c r="A104" s="161"/>
      <c r="C104" s="60"/>
      <c r="D104" s="162"/>
      <c r="H104" s="167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4"/>
      <c r="W104" s="51"/>
      <c r="X104" s="155"/>
      <c r="Y104" s="6"/>
      <c r="Z104" s="54"/>
      <c r="AA104" s="64"/>
      <c r="AB104" s="64"/>
      <c r="AD104" s="12"/>
      <c r="AE104" s="104"/>
      <c r="AF104" s="64"/>
      <c r="AI104" s="64"/>
    </row>
    <row r="105" spans="1:35" ht="31.5" customHeight="1" x14ac:dyDescent="0.35">
      <c r="A105" s="161"/>
      <c r="C105" s="60"/>
      <c r="D105" s="162"/>
      <c r="H105" s="167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4"/>
      <c r="W105" s="51"/>
      <c r="X105" s="155"/>
      <c r="Y105" s="6"/>
      <c r="Z105" s="54"/>
      <c r="AA105" s="64"/>
      <c r="AB105" s="64"/>
      <c r="AD105" s="12"/>
      <c r="AE105" s="104"/>
      <c r="AF105" s="64"/>
      <c r="AI105" s="13"/>
    </row>
    <row r="106" spans="1:35" ht="31.5" customHeight="1" x14ac:dyDescent="0.35">
      <c r="A106" s="161"/>
      <c r="C106" s="60"/>
      <c r="D106" s="162"/>
      <c r="H106" s="167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4"/>
      <c r="W106" s="51"/>
      <c r="X106" s="155"/>
      <c r="Y106" s="6"/>
      <c r="Z106" s="54"/>
      <c r="AA106" s="64"/>
      <c r="AB106" s="64"/>
      <c r="AD106" s="12"/>
      <c r="AE106" s="104"/>
      <c r="AF106" s="64"/>
      <c r="AI106" s="13"/>
    </row>
    <row r="107" spans="1:35" ht="31.5" customHeight="1" x14ac:dyDescent="0.35">
      <c r="H107" s="15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4"/>
      <c r="W107" s="51"/>
      <c r="X107" s="155"/>
      <c r="Y107" s="6"/>
      <c r="Z107" s="54"/>
      <c r="AA107" s="64"/>
      <c r="AB107" s="64"/>
      <c r="AD107" s="12"/>
      <c r="AF107" s="64"/>
      <c r="AI107" s="13"/>
    </row>
    <row r="108" spans="1:35" ht="31.5" customHeight="1" x14ac:dyDescent="0.35">
      <c r="A108" s="736" t="s">
        <v>1025</v>
      </c>
      <c r="B108" s="737"/>
      <c r="C108" s="736"/>
      <c r="D108" s="738"/>
      <c r="E108" s="738"/>
      <c r="F108" s="736"/>
      <c r="G108" s="738"/>
      <c r="H108" s="739"/>
      <c r="I108" s="738"/>
      <c r="J108" s="738"/>
      <c r="K108" s="738"/>
      <c r="L108" s="738"/>
      <c r="M108" s="738"/>
      <c r="N108" s="738"/>
      <c r="O108" s="738"/>
      <c r="P108" s="738"/>
      <c r="Q108" s="738"/>
      <c r="R108" s="738"/>
      <c r="S108" s="738"/>
      <c r="T108" s="740"/>
      <c r="U108" s="741"/>
      <c r="V108" s="741"/>
      <c r="W108" s="741"/>
      <c r="X108" s="742"/>
      <c r="Y108" s="743"/>
      <c r="Z108" s="744"/>
      <c r="AA108" s="745"/>
      <c r="AB108" s="745"/>
      <c r="AC108" s="738"/>
      <c r="AD108" s="740"/>
      <c r="AE108" s="746"/>
      <c r="AF108" s="747"/>
    </row>
    <row r="109" spans="1:35" ht="31.5" customHeight="1" x14ac:dyDescent="0.35">
      <c r="A109" s="49" t="s">
        <v>590</v>
      </c>
      <c r="B109" s="168"/>
      <c r="C109" s="49" t="s">
        <v>592</v>
      </c>
      <c r="D109" s="169" t="s">
        <v>594</v>
      </c>
      <c r="E109" s="169" t="s">
        <v>9</v>
      </c>
      <c r="F109" s="49" t="s">
        <v>10</v>
      </c>
      <c r="G109" s="169"/>
      <c r="H109" s="56" t="s">
        <v>596</v>
      </c>
      <c r="I109" s="11" t="s">
        <v>5</v>
      </c>
      <c r="J109" s="4" t="s">
        <v>6</v>
      </c>
      <c r="L109" s="11"/>
      <c r="M109" s="11"/>
      <c r="N109" s="11"/>
      <c r="O109" s="11"/>
      <c r="P109" s="11"/>
      <c r="Q109" s="11"/>
      <c r="R109" s="11"/>
      <c r="S109" s="11"/>
      <c r="T109" s="9" t="s">
        <v>13</v>
      </c>
      <c r="U109" s="51" t="s">
        <v>1026</v>
      </c>
      <c r="V109" s="51" t="s">
        <v>12</v>
      </c>
      <c r="W109" s="51"/>
      <c r="X109" s="62" t="s">
        <v>604</v>
      </c>
      <c r="Z109" s="54" t="s">
        <v>1026</v>
      </c>
      <c r="AA109" s="7" t="s">
        <v>1027</v>
      </c>
      <c r="AB109" s="7" t="s">
        <v>607</v>
      </c>
      <c r="AC109" s="4" t="s">
        <v>1028</v>
      </c>
      <c r="AD109" s="8" t="s">
        <v>41</v>
      </c>
      <c r="AE109" s="93" t="s">
        <v>28</v>
      </c>
      <c r="AF109" s="13" t="s">
        <v>1029</v>
      </c>
    </row>
    <row r="110" spans="1:35" ht="31.5" customHeight="1" x14ac:dyDescent="0.35">
      <c r="A110" s="161">
        <v>1406</v>
      </c>
      <c r="C110" s="60"/>
      <c r="D110" s="162"/>
      <c r="H110" s="167" t="s">
        <v>1030</v>
      </c>
      <c r="X110" s="155"/>
      <c r="Y110" s="6"/>
      <c r="Z110" s="10"/>
      <c r="AA110" s="10"/>
      <c r="AB110" s="10"/>
      <c r="AC110" s="5"/>
      <c r="AD110" s="74"/>
      <c r="AF110" s="10"/>
    </row>
    <row r="111" spans="1:35" ht="31.5" customHeight="1" x14ac:dyDescent="0.35">
      <c r="A111" s="161">
        <v>1431</v>
      </c>
      <c r="C111" s="60"/>
      <c r="D111" s="162"/>
      <c r="H111" s="167" t="s">
        <v>1031</v>
      </c>
    </row>
    <row r="112" spans="1:35" ht="31.5" customHeight="1" x14ac:dyDescent="0.35">
      <c r="A112" s="161">
        <v>1457</v>
      </c>
      <c r="C112" s="60"/>
      <c r="D112" s="162"/>
      <c r="H112" s="167" t="s">
        <v>1032</v>
      </c>
    </row>
    <row r="113" spans="1:32" ht="31.5" customHeight="1" x14ac:dyDescent="0.35">
      <c r="A113" s="161">
        <v>1482</v>
      </c>
      <c r="C113" s="60"/>
      <c r="D113" s="162"/>
      <c r="H113" s="167" t="s">
        <v>1033</v>
      </c>
    </row>
    <row r="114" spans="1:32" ht="31.5" customHeight="1" x14ac:dyDescent="0.35">
      <c r="A114" s="161">
        <v>1483</v>
      </c>
      <c r="C114" s="60"/>
      <c r="D114" s="162"/>
      <c r="H114" s="167" t="s">
        <v>1034</v>
      </c>
    </row>
    <row r="115" spans="1:32" ht="31.5" customHeight="1" x14ac:dyDescent="0.35">
      <c r="A115" s="161">
        <v>1485</v>
      </c>
      <c r="C115" s="60"/>
      <c r="D115" s="162"/>
      <c r="H115" s="167" t="s">
        <v>1035</v>
      </c>
    </row>
    <row r="116" spans="1:32" ht="31.5" customHeight="1" x14ac:dyDescent="0.35">
      <c r="A116" s="161">
        <v>1492</v>
      </c>
      <c r="C116" s="60"/>
      <c r="D116" s="162"/>
      <c r="H116" s="167" t="s">
        <v>710</v>
      </c>
    </row>
    <row r="117" spans="1:32" ht="31.5" customHeight="1" x14ac:dyDescent="0.35">
      <c r="A117" s="161">
        <v>1493</v>
      </c>
      <c r="C117" s="60"/>
      <c r="D117" s="162" t="s">
        <v>73</v>
      </c>
      <c r="H117" s="167" t="s">
        <v>1036</v>
      </c>
      <c r="I117" s="4">
        <v>310765684</v>
      </c>
      <c r="J117" s="4" t="s">
        <v>328</v>
      </c>
    </row>
    <row r="118" spans="1:32" ht="31.5" customHeight="1" x14ac:dyDescent="0.35">
      <c r="A118" s="161">
        <v>1499</v>
      </c>
      <c r="C118" s="60"/>
      <c r="D118" s="162"/>
      <c r="H118" s="167" t="s">
        <v>1037</v>
      </c>
    </row>
    <row r="120" spans="1:32" ht="31.5" customHeight="1" x14ac:dyDescent="0.35">
      <c r="AE120" s="93" t="s">
        <v>759</v>
      </c>
    </row>
    <row r="121" spans="1:32" ht="31.5" customHeight="1" x14ac:dyDescent="0.35">
      <c r="AE121" s="93" t="s">
        <v>759</v>
      </c>
    </row>
    <row r="122" spans="1:32" ht="31.5" customHeight="1" x14ac:dyDescent="0.35">
      <c r="H122" s="170" t="s">
        <v>1038</v>
      </c>
      <c r="I122" s="4">
        <v>223413666</v>
      </c>
      <c r="AE122" s="93" t="s">
        <v>759</v>
      </c>
    </row>
    <row r="123" spans="1:32" ht="31.5" customHeight="1" x14ac:dyDescent="0.35">
      <c r="H123" s="170" t="s">
        <v>1039</v>
      </c>
      <c r="I123" s="4">
        <v>312593872</v>
      </c>
      <c r="J123" s="4" t="s">
        <v>284</v>
      </c>
      <c r="AE123" s="93" t="s">
        <v>759</v>
      </c>
    </row>
    <row r="124" spans="1:32" ht="31.5" customHeight="1" x14ac:dyDescent="0.35">
      <c r="A124" s="11">
        <v>1595</v>
      </c>
      <c r="H124" s="170" t="s">
        <v>417</v>
      </c>
      <c r="I124" s="4">
        <v>323521010</v>
      </c>
      <c r="AE124" s="93" t="s">
        <v>759</v>
      </c>
    </row>
    <row r="125" spans="1:32" ht="31.5" customHeight="1" x14ac:dyDescent="0.35">
      <c r="A125" s="11">
        <v>1595</v>
      </c>
      <c r="F125" s="64"/>
      <c r="G125" s="12"/>
      <c r="H125" s="170" t="s">
        <v>414</v>
      </c>
      <c r="I125" s="4">
        <v>323520812</v>
      </c>
      <c r="W125" s="51"/>
      <c r="X125" s="155"/>
      <c r="Y125" s="6"/>
      <c r="Z125" s="10"/>
      <c r="AA125" s="10"/>
      <c r="AB125" s="10"/>
      <c r="AC125" s="5"/>
      <c r="AD125" s="74"/>
      <c r="AE125" s="93" t="s">
        <v>759</v>
      </c>
      <c r="AF125" s="10"/>
    </row>
    <row r="126" spans="1:32" ht="31.5" customHeight="1" x14ac:dyDescent="0.35">
      <c r="A126" s="11">
        <v>1594</v>
      </c>
      <c r="F126" s="64"/>
      <c r="G126" s="12"/>
      <c r="H126" s="170" t="s">
        <v>578</v>
      </c>
      <c r="I126" s="4">
        <v>323367151</v>
      </c>
      <c r="W126" s="51"/>
      <c r="X126" s="155"/>
      <c r="Y126" s="6"/>
      <c r="Z126" s="10"/>
      <c r="AA126" s="10"/>
      <c r="AB126" s="10"/>
      <c r="AC126" s="5"/>
      <c r="AD126" s="74"/>
      <c r="AE126" s="93" t="s">
        <v>759</v>
      </c>
      <c r="AF126" s="10"/>
    </row>
    <row r="127" spans="1:32" ht="31.5" customHeight="1" x14ac:dyDescent="0.35">
      <c r="H127" s="170" t="s">
        <v>1040</v>
      </c>
      <c r="AE127" s="93" t="s">
        <v>759</v>
      </c>
    </row>
    <row r="128" spans="1:32" ht="31.5" customHeight="1" x14ac:dyDescent="0.35">
      <c r="H128" s="170" t="s">
        <v>1041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W128" s="51"/>
      <c r="X128" s="155"/>
      <c r="Y128" s="6"/>
      <c r="Z128" s="10"/>
      <c r="AA128" s="10"/>
      <c r="AB128" s="10"/>
      <c r="AC128" s="5"/>
      <c r="AD128" s="74"/>
      <c r="AE128" s="93" t="s">
        <v>759</v>
      </c>
      <c r="AF128" s="10"/>
    </row>
    <row r="129" spans="1:31" ht="31.5" customHeight="1" x14ac:dyDescent="0.35">
      <c r="F129" s="64"/>
      <c r="G129" s="12"/>
      <c r="H129" s="170" t="s">
        <v>1042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W129" s="51"/>
      <c r="X129" s="155"/>
      <c r="Y129" s="6"/>
      <c r="Z129" s="10"/>
      <c r="AA129" s="10"/>
      <c r="AB129" s="10"/>
      <c r="AC129" s="5"/>
      <c r="AD129" s="74"/>
      <c r="AE129" s="93" t="s">
        <v>759</v>
      </c>
    </row>
    <row r="130" spans="1:31" ht="31.5" customHeight="1" x14ac:dyDescent="0.35">
      <c r="A130" s="11">
        <v>1555</v>
      </c>
      <c r="F130" s="64"/>
      <c r="G130" s="12"/>
      <c r="H130" s="170" t="s">
        <v>1043</v>
      </c>
      <c r="I130" s="64"/>
      <c r="J130" s="12"/>
      <c r="K130" s="12"/>
      <c r="L130" s="64"/>
      <c r="M130" s="64"/>
      <c r="N130" s="64"/>
      <c r="O130" s="64"/>
      <c r="P130" s="64"/>
      <c r="Q130" s="64"/>
      <c r="R130" s="64"/>
      <c r="S130" s="64"/>
      <c r="T130" s="64"/>
      <c r="U130" s="51"/>
      <c r="W130" s="51"/>
      <c r="X130" s="155"/>
      <c r="Y130" s="6"/>
      <c r="Z130" s="10"/>
      <c r="AA130" s="10"/>
      <c r="AB130" s="10"/>
      <c r="AC130" s="5"/>
      <c r="AD130" s="74"/>
      <c r="AE130" s="93" t="s">
        <v>759</v>
      </c>
    </row>
    <row r="131" spans="1:31" ht="31.5" customHeight="1" x14ac:dyDescent="0.35">
      <c r="A131" s="11">
        <v>1598</v>
      </c>
      <c r="F131" s="64"/>
      <c r="G131" s="12"/>
      <c r="H131" s="170" t="s">
        <v>573</v>
      </c>
      <c r="I131" s="64"/>
      <c r="J131" s="12"/>
      <c r="K131" s="12"/>
      <c r="L131" s="64"/>
      <c r="M131" s="64"/>
      <c r="N131" s="64"/>
      <c r="O131" s="64"/>
      <c r="P131" s="64"/>
      <c r="Q131" s="64"/>
      <c r="R131" s="64"/>
      <c r="S131" s="64"/>
      <c r="T131" s="64"/>
      <c r="U131" s="51"/>
      <c r="W131" s="51"/>
      <c r="X131" s="155"/>
      <c r="Y131" s="6"/>
      <c r="Z131" s="10"/>
      <c r="AA131" s="10"/>
      <c r="AB131" s="10"/>
      <c r="AC131" s="5"/>
      <c r="AD131" s="74"/>
      <c r="AE131" s="93" t="s">
        <v>759</v>
      </c>
    </row>
    <row r="132" spans="1:31" ht="31.5" customHeight="1" x14ac:dyDescent="0.35">
      <c r="A132" s="11">
        <v>1586</v>
      </c>
      <c r="F132" s="64"/>
      <c r="G132" s="12"/>
      <c r="H132" s="170" t="s">
        <v>1044</v>
      </c>
      <c r="I132" s="64"/>
      <c r="J132" s="12"/>
      <c r="K132" s="12"/>
      <c r="L132" s="64"/>
      <c r="M132" s="64"/>
      <c r="N132" s="64"/>
      <c r="O132" s="64"/>
      <c r="P132" s="64"/>
      <c r="Q132" s="64"/>
      <c r="R132" s="64"/>
      <c r="S132" s="64"/>
      <c r="T132" s="64"/>
      <c r="U132" s="51"/>
      <c r="W132" s="51"/>
      <c r="X132" s="155"/>
      <c r="Y132" s="6"/>
      <c r="Z132" s="10"/>
      <c r="AA132" s="10"/>
      <c r="AB132" s="10"/>
      <c r="AC132" s="5"/>
      <c r="AD132" s="74"/>
      <c r="AE132" s="93" t="s">
        <v>759</v>
      </c>
    </row>
    <row r="133" spans="1:31" ht="31.5" customHeight="1" x14ac:dyDescent="0.35">
      <c r="A133" s="11">
        <v>1596</v>
      </c>
      <c r="F133" s="64"/>
      <c r="G133" s="12"/>
      <c r="H133" s="170" t="s">
        <v>419</v>
      </c>
      <c r="I133" s="64"/>
      <c r="J133" s="12"/>
      <c r="K133" s="12"/>
      <c r="L133" s="64"/>
      <c r="M133" s="64"/>
      <c r="N133" s="64"/>
      <c r="O133" s="64"/>
      <c r="P133" s="64"/>
      <c r="Q133" s="64"/>
      <c r="R133" s="64"/>
      <c r="S133" s="64"/>
      <c r="T133" s="64"/>
      <c r="U133" s="51"/>
      <c r="W133" s="51"/>
      <c r="X133" s="155"/>
      <c r="Y133" s="6"/>
      <c r="Z133" s="10"/>
      <c r="AA133" s="10"/>
      <c r="AB133" s="10"/>
      <c r="AC133" s="5"/>
      <c r="AD133" s="74"/>
      <c r="AE133" s="93" t="s">
        <v>759</v>
      </c>
    </row>
    <row r="134" spans="1:31" ht="31.5" customHeight="1" x14ac:dyDescent="0.35">
      <c r="F134" s="64"/>
      <c r="G134" s="12"/>
      <c r="H134" s="171" t="s">
        <v>1045</v>
      </c>
      <c r="I134" s="64"/>
      <c r="J134" s="12"/>
      <c r="K134" s="12"/>
      <c r="L134" s="64"/>
      <c r="M134" s="64"/>
      <c r="N134" s="64"/>
      <c r="O134" s="64"/>
      <c r="P134" s="64"/>
      <c r="Q134" s="64"/>
      <c r="R134" s="64"/>
      <c r="S134" s="64"/>
      <c r="T134" s="64"/>
      <c r="U134" s="51"/>
      <c r="W134" s="51"/>
      <c r="X134" s="155"/>
      <c r="Y134" s="6"/>
      <c r="Z134" s="10"/>
      <c r="AA134" s="10"/>
      <c r="AB134" s="10"/>
      <c r="AC134" s="5"/>
      <c r="AD134" s="74"/>
      <c r="AE134" s="93" t="s">
        <v>759</v>
      </c>
    </row>
    <row r="135" spans="1:31" ht="31.5" customHeight="1" x14ac:dyDescent="0.35">
      <c r="F135" s="64"/>
      <c r="G135" s="12"/>
      <c r="H135" s="171" t="s">
        <v>1046</v>
      </c>
      <c r="I135" s="64"/>
      <c r="J135" s="12"/>
      <c r="K135" s="12"/>
      <c r="L135" s="64"/>
      <c r="M135" s="64"/>
      <c r="N135" s="64"/>
      <c r="O135" s="64"/>
      <c r="P135" s="64"/>
      <c r="Q135" s="64"/>
      <c r="R135" s="64"/>
      <c r="S135" s="64"/>
      <c r="T135" s="64"/>
      <c r="U135" s="51"/>
      <c r="W135" s="51"/>
      <c r="X135" s="155"/>
      <c r="Y135" s="6"/>
      <c r="Z135" s="10"/>
      <c r="AA135" s="10"/>
      <c r="AB135" s="10"/>
      <c r="AC135" s="5"/>
      <c r="AD135" s="74"/>
      <c r="AE135" s="93" t="s">
        <v>759</v>
      </c>
    </row>
    <row r="136" spans="1:31" ht="31.5" customHeight="1" x14ac:dyDescent="0.35">
      <c r="F136" s="64"/>
      <c r="G136" s="12"/>
      <c r="H136" s="171" t="s">
        <v>1047</v>
      </c>
      <c r="I136" s="64"/>
      <c r="J136" s="12"/>
      <c r="K136" s="12"/>
      <c r="L136" s="64"/>
      <c r="M136" s="64"/>
      <c r="N136" s="64"/>
      <c r="O136" s="64"/>
      <c r="P136" s="64"/>
      <c r="Q136" s="64"/>
      <c r="R136" s="64"/>
      <c r="S136" s="64"/>
      <c r="T136" s="64"/>
      <c r="U136" s="51"/>
      <c r="W136" s="51"/>
      <c r="X136" s="155"/>
      <c r="Y136" s="6"/>
      <c r="Z136" s="10"/>
      <c r="AA136" s="10"/>
      <c r="AB136" s="10"/>
      <c r="AC136" s="5"/>
      <c r="AD136" s="74"/>
      <c r="AE136" s="93" t="s">
        <v>759</v>
      </c>
    </row>
    <row r="137" spans="1:31" ht="31.5" customHeight="1" x14ac:dyDescent="0.35">
      <c r="F137" s="64"/>
      <c r="G137" s="12"/>
      <c r="H137" s="171" t="s">
        <v>1048</v>
      </c>
      <c r="I137" s="64"/>
      <c r="J137" s="12"/>
      <c r="K137" s="12"/>
      <c r="L137" s="64"/>
      <c r="M137" s="64"/>
      <c r="N137" s="64"/>
      <c r="O137" s="64"/>
      <c r="P137" s="64"/>
      <c r="Q137" s="64"/>
      <c r="R137" s="64"/>
      <c r="S137" s="64"/>
      <c r="T137" s="64"/>
      <c r="U137" s="51"/>
      <c r="W137" s="51"/>
      <c r="X137" s="155"/>
      <c r="Y137" s="6"/>
      <c r="Z137" s="10"/>
      <c r="AA137" s="10"/>
      <c r="AB137" s="10"/>
      <c r="AC137" s="5"/>
      <c r="AD137" s="74"/>
      <c r="AE137" s="93" t="s">
        <v>759</v>
      </c>
    </row>
    <row r="138" spans="1:31" ht="31.5" customHeight="1" x14ac:dyDescent="0.35">
      <c r="F138" s="64"/>
      <c r="G138" s="12"/>
      <c r="H138" s="171" t="s">
        <v>1049</v>
      </c>
      <c r="I138" s="64"/>
      <c r="J138" s="12"/>
      <c r="K138" s="12"/>
      <c r="L138" s="64"/>
      <c r="M138" s="64"/>
      <c r="N138" s="64"/>
      <c r="O138" s="64"/>
      <c r="P138" s="64"/>
      <c r="Q138" s="64"/>
      <c r="R138" s="64"/>
      <c r="S138" s="64"/>
      <c r="T138" s="64"/>
      <c r="U138" s="51"/>
      <c r="W138" s="51"/>
      <c r="X138" s="155"/>
      <c r="Y138" s="6"/>
      <c r="Z138" s="10"/>
      <c r="AA138" s="10"/>
      <c r="AB138" s="10"/>
      <c r="AC138" s="5"/>
      <c r="AD138" s="74"/>
      <c r="AE138" s="93" t="s">
        <v>759</v>
      </c>
    </row>
    <row r="139" spans="1:31" ht="31.5" customHeight="1" x14ac:dyDescent="0.35">
      <c r="A139" s="11">
        <v>9424</v>
      </c>
      <c r="H139" s="171" t="s">
        <v>752</v>
      </c>
      <c r="AE139" s="93" t="s">
        <v>759</v>
      </c>
    </row>
    <row r="140" spans="1:31" ht="31.5" customHeight="1" x14ac:dyDescent="0.35">
      <c r="A140" s="11">
        <v>9424</v>
      </c>
      <c r="H140" s="171" t="s">
        <v>1050</v>
      </c>
      <c r="AE140" s="93" t="s">
        <v>759</v>
      </c>
    </row>
    <row r="141" spans="1:31" ht="31.5" customHeight="1" x14ac:dyDescent="0.35">
      <c r="H141" s="171" t="s">
        <v>1051</v>
      </c>
      <c r="AE141" s="93" t="s">
        <v>759</v>
      </c>
    </row>
    <row r="142" spans="1:31" ht="31.5" customHeight="1" x14ac:dyDescent="0.35">
      <c r="H142" s="171" t="s">
        <v>1052</v>
      </c>
      <c r="AE142" s="93" t="s">
        <v>759</v>
      </c>
    </row>
    <row r="143" spans="1:31" ht="31.5" customHeight="1" x14ac:dyDescent="0.35">
      <c r="H143" s="171" t="s">
        <v>749</v>
      </c>
      <c r="AE143" s="93" t="s">
        <v>759</v>
      </c>
    </row>
    <row r="144" spans="1:31" ht="31.5" customHeight="1" x14ac:dyDescent="0.35">
      <c r="H144" s="171" t="s">
        <v>411</v>
      </c>
      <c r="AE144" s="93" t="s">
        <v>759</v>
      </c>
    </row>
    <row r="145" spans="8:31" ht="31.5" customHeight="1" x14ac:dyDescent="0.35">
      <c r="H145" s="171" t="s">
        <v>758</v>
      </c>
      <c r="AE145" s="93" t="s">
        <v>759</v>
      </c>
    </row>
    <row r="146" spans="8:31" ht="31.5" customHeight="1" x14ac:dyDescent="0.35">
      <c r="H146" s="171" t="s">
        <v>1053</v>
      </c>
      <c r="AE146" s="93" t="s">
        <v>759</v>
      </c>
    </row>
    <row r="147" spans="8:31" ht="31.5" customHeight="1" x14ac:dyDescent="0.35">
      <c r="H147" s="171" t="s">
        <v>1054</v>
      </c>
      <c r="AE147" s="93" t="s">
        <v>759</v>
      </c>
    </row>
    <row r="148" spans="8:31" ht="31.5" customHeight="1" x14ac:dyDescent="0.35">
      <c r="H148" s="171" t="s">
        <v>1055</v>
      </c>
      <c r="AE148" s="93" t="s">
        <v>759</v>
      </c>
    </row>
    <row r="149" spans="8:31" ht="31.5" customHeight="1" x14ac:dyDescent="0.35">
      <c r="H149" s="171" t="s">
        <v>507</v>
      </c>
      <c r="AE149" s="93" t="s">
        <v>759</v>
      </c>
    </row>
    <row r="150" spans="8:31" ht="31.5" customHeight="1" x14ac:dyDescent="0.35">
      <c r="H150" s="171" t="s">
        <v>1056</v>
      </c>
      <c r="AE150" s="93" t="s">
        <v>759</v>
      </c>
    </row>
    <row r="151" spans="8:31" ht="31.5" customHeight="1" x14ac:dyDescent="0.35">
      <c r="H151" s="171" t="s">
        <v>1057</v>
      </c>
      <c r="AE151" s="93" t="s">
        <v>759</v>
      </c>
    </row>
    <row r="152" spans="8:31" ht="31.5" customHeight="1" x14ac:dyDescent="0.35">
      <c r="H152" s="171" t="s">
        <v>393</v>
      </c>
      <c r="AE152" s="93" t="s">
        <v>759</v>
      </c>
    </row>
    <row r="153" spans="8:31" ht="31.5" customHeight="1" x14ac:dyDescent="0.35">
      <c r="H153" s="171" t="s">
        <v>727</v>
      </c>
      <c r="AE153" s="93" t="s">
        <v>759</v>
      </c>
    </row>
    <row r="154" spans="8:31" ht="31.5" customHeight="1" x14ac:dyDescent="0.35">
      <c r="H154" s="171" t="s">
        <v>1058</v>
      </c>
      <c r="AE154" s="93" t="s">
        <v>759</v>
      </c>
    </row>
    <row r="155" spans="8:31" ht="31.5" customHeight="1" x14ac:dyDescent="0.35">
      <c r="H155" s="171" t="s">
        <v>744</v>
      </c>
      <c r="AE155" s="93" t="s">
        <v>759</v>
      </c>
    </row>
    <row r="156" spans="8:31" ht="31.5" customHeight="1" x14ac:dyDescent="0.35">
      <c r="H156" s="171" t="s">
        <v>380</v>
      </c>
      <c r="AE156" s="93" t="s">
        <v>759</v>
      </c>
    </row>
    <row r="157" spans="8:31" ht="31.5" customHeight="1" x14ac:dyDescent="0.35">
      <c r="H157" s="171" t="s">
        <v>1059</v>
      </c>
      <c r="AE157" s="93" t="s">
        <v>759</v>
      </c>
    </row>
    <row r="158" spans="8:31" ht="31.5" customHeight="1" x14ac:dyDescent="0.35">
      <c r="H158" s="171" t="s">
        <v>1060</v>
      </c>
      <c r="AE158" s="93" t="s">
        <v>759</v>
      </c>
    </row>
    <row r="159" spans="8:31" ht="31.5" customHeight="1" x14ac:dyDescent="0.35">
      <c r="H159" s="171" t="s">
        <v>1061</v>
      </c>
      <c r="AE159" s="93" t="s">
        <v>759</v>
      </c>
    </row>
    <row r="160" spans="8:31" ht="31.5" customHeight="1" x14ac:dyDescent="0.35">
      <c r="H160" s="172" t="s">
        <v>584</v>
      </c>
      <c r="AE160" s="93" t="s">
        <v>759</v>
      </c>
    </row>
    <row r="161" spans="1:31" ht="31.5" customHeight="1" x14ac:dyDescent="0.35">
      <c r="H161" s="172" t="s">
        <v>366</v>
      </c>
      <c r="AE161" s="93" t="s">
        <v>759</v>
      </c>
    </row>
    <row r="162" spans="1:31" ht="31.5" customHeight="1" x14ac:dyDescent="0.35">
      <c r="H162" s="172" t="s">
        <v>1062</v>
      </c>
      <c r="AE162" s="93" t="s">
        <v>759</v>
      </c>
    </row>
    <row r="163" spans="1:31" ht="31.5" customHeight="1" x14ac:dyDescent="0.35">
      <c r="H163" s="171" t="s">
        <v>1063</v>
      </c>
      <c r="AE163" s="93" t="s">
        <v>759</v>
      </c>
    </row>
    <row r="164" spans="1:31" ht="31.5" customHeight="1" x14ac:dyDescent="0.35">
      <c r="H164" s="171" t="s">
        <v>1064</v>
      </c>
      <c r="AE164" s="93" t="s">
        <v>759</v>
      </c>
    </row>
    <row r="165" spans="1:31" ht="31.5" customHeight="1" x14ac:dyDescent="0.35">
      <c r="H165" s="171" t="s">
        <v>748</v>
      </c>
      <c r="AE165" s="93" t="s">
        <v>759</v>
      </c>
    </row>
    <row r="166" spans="1:31" ht="31.5" customHeight="1" x14ac:dyDescent="0.35">
      <c r="A166" s="11">
        <v>1575</v>
      </c>
      <c r="H166" s="172" t="s">
        <v>405</v>
      </c>
      <c r="I166" s="4">
        <v>322728118</v>
      </c>
      <c r="J166" s="4" t="s">
        <v>1065</v>
      </c>
      <c r="AE166" s="93" t="s">
        <v>759</v>
      </c>
    </row>
    <row r="167" spans="1:31" ht="31.5" customHeight="1" x14ac:dyDescent="0.35">
      <c r="H167" s="172" t="s">
        <v>402</v>
      </c>
      <c r="AE167" s="93" t="s">
        <v>759</v>
      </c>
    </row>
    <row r="168" spans="1:31" ht="31.5" customHeight="1" x14ac:dyDescent="0.35">
      <c r="H168" s="170" t="s">
        <v>1066</v>
      </c>
      <c r="AE168" s="93" t="s">
        <v>759</v>
      </c>
    </row>
    <row r="169" spans="1:31" ht="31.5" customHeight="1" x14ac:dyDescent="0.35">
      <c r="H169" s="170" t="s">
        <v>740</v>
      </c>
      <c r="AE169" s="93" t="s">
        <v>759</v>
      </c>
    </row>
    <row r="170" spans="1:31" ht="31.5" customHeight="1" x14ac:dyDescent="0.35">
      <c r="H170" s="170" t="s">
        <v>275</v>
      </c>
      <c r="AE170" s="93" t="s">
        <v>759</v>
      </c>
    </row>
    <row r="171" spans="1:31" ht="31.5" customHeight="1" x14ac:dyDescent="0.35">
      <c r="H171" s="173" t="s">
        <v>1067</v>
      </c>
      <c r="AE171" s="93" t="s">
        <v>759</v>
      </c>
    </row>
    <row r="172" spans="1:31" ht="31.5" customHeight="1" x14ac:dyDescent="0.35">
      <c r="H172" s="173" t="s">
        <v>330</v>
      </c>
      <c r="AE172" s="93" t="s">
        <v>759</v>
      </c>
    </row>
    <row r="173" spans="1:31" ht="31.5" customHeight="1" x14ac:dyDescent="0.35">
      <c r="H173" s="173" t="s">
        <v>723</v>
      </c>
      <c r="AE173" s="93" t="s">
        <v>759</v>
      </c>
    </row>
    <row r="174" spans="1:31" ht="31.5" customHeight="1" x14ac:dyDescent="0.35">
      <c r="H174" s="170" t="s">
        <v>1068</v>
      </c>
      <c r="AE174" s="93" t="s">
        <v>759</v>
      </c>
    </row>
    <row r="175" spans="1:31" ht="31.5" customHeight="1" x14ac:dyDescent="0.35">
      <c r="H175" s="173" t="s">
        <v>739</v>
      </c>
      <c r="AE175" s="93" t="s">
        <v>759</v>
      </c>
    </row>
    <row r="176" spans="1:31" ht="31.5" customHeight="1" x14ac:dyDescent="0.35">
      <c r="H176" s="173" t="s">
        <v>1069</v>
      </c>
      <c r="AE176" s="93" t="s">
        <v>759</v>
      </c>
    </row>
    <row r="177" spans="8:31" ht="31.5" customHeight="1" x14ac:dyDescent="0.35">
      <c r="H177" s="173" t="s">
        <v>376</v>
      </c>
      <c r="AE177" s="93" t="s">
        <v>759</v>
      </c>
    </row>
    <row r="178" spans="8:31" ht="31.5" customHeight="1" x14ac:dyDescent="0.35">
      <c r="H178" s="173" t="s">
        <v>240</v>
      </c>
      <c r="AE178" s="93" t="s">
        <v>759</v>
      </c>
    </row>
    <row r="179" spans="8:31" ht="31.5" customHeight="1" x14ac:dyDescent="0.35">
      <c r="H179" s="173" t="s">
        <v>1070</v>
      </c>
      <c r="AE179" s="93" t="s">
        <v>759</v>
      </c>
    </row>
    <row r="180" spans="8:31" ht="31.5" customHeight="1" x14ac:dyDescent="0.35">
      <c r="H180" s="170" t="s">
        <v>733</v>
      </c>
      <c r="AE180" s="93" t="s">
        <v>759</v>
      </c>
    </row>
    <row r="181" spans="8:31" ht="31.5" customHeight="1" x14ac:dyDescent="0.35">
      <c r="H181" s="170" t="s">
        <v>1071</v>
      </c>
      <c r="AE181" s="93" t="s">
        <v>759</v>
      </c>
    </row>
    <row r="182" spans="8:31" ht="31.5" customHeight="1" x14ac:dyDescent="0.35">
      <c r="H182" s="170" t="s">
        <v>1072</v>
      </c>
      <c r="AE182" s="93" t="s">
        <v>759</v>
      </c>
    </row>
    <row r="183" spans="8:31" ht="31.5" customHeight="1" x14ac:dyDescent="0.35">
      <c r="H183" s="170" t="s">
        <v>1073</v>
      </c>
      <c r="AE183" s="93" t="s">
        <v>759</v>
      </c>
    </row>
    <row r="184" spans="8:31" ht="31.5" customHeight="1" x14ac:dyDescent="0.35">
      <c r="H184" s="171" t="s">
        <v>1036</v>
      </c>
      <c r="AE184" s="93" t="s">
        <v>759</v>
      </c>
    </row>
    <row r="185" spans="8:31" ht="31.5" customHeight="1" x14ac:dyDescent="0.35">
      <c r="H185" s="171" t="s">
        <v>1033</v>
      </c>
      <c r="AE185" s="93" t="s">
        <v>759</v>
      </c>
    </row>
    <row r="186" spans="8:31" ht="31.5" customHeight="1" x14ac:dyDescent="0.35">
      <c r="H186" s="171" t="s">
        <v>1074</v>
      </c>
      <c r="AE186" s="93" t="s">
        <v>759</v>
      </c>
    </row>
    <row r="187" spans="8:31" ht="31.5" customHeight="1" x14ac:dyDescent="0.35">
      <c r="H187" s="172" t="s">
        <v>1075</v>
      </c>
      <c r="AE187" s="93" t="s">
        <v>759</v>
      </c>
    </row>
    <row r="188" spans="8:31" ht="31.5" customHeight="1" x14ac:dyDescent="0.35">
      <c r="H188" s="172" t="s">
        <v>1076</v>
      </c>
      <c r="AE188" s="93" t="s">
        <v>759</v>
      </c>
    </row>
    <row r="189" spans="8:31" ht="31.5" customHeight="1" x14ac:dyDescent="0.35">
      <c r="H189" s="172" t="s">
        <v>1077</v>
      </c>
      <c r="AE189" s="93" t="s">
        <v>759</v>
      </c>
    </row>
    <row r="190" spans="8:31" ht="31.5" customHeight="1" x14ac:dyDescent="0.35">
      <c r="H190" s="170" t="s">
        <v>1078</v>
      </c>
      <c r="AE190" s="93" t="s">
        <v>759</v>
      </c>
    </row>
    <row r="191" spans="8:31" ht="31.5" customHeight="1" x14ac:dyDescent="0.35">
      <c r="H191" s="170" t="s">
        <v>1079</v>
      </c>
      <c r="AE191" s="93" t="s">
        <v>759</v>
      </c>
    </row>
    <row r="192" spans="8:31" ht="31.5" customHeight="1" x14ac:dyDescent="0.35">
      <c r="H192" s="171" t="s">
        <v>1080</v>
      </c>
      <c r="AE192" s="93" t="s">
        <v>759</v>
      </c>
    </row>
    <row r="193" spans="1:32" ht="31.5" customHeight="1" x14ac:dyDescent="0.35">
      <c r="H193" s="171" t="s">
        <v>1081</v>
      </c>
      <c r="AE193" s="93" t="s">
        <v>759</v>
      </c>
    </row>
    <row r="194" spans="1:32" ht="31.5" customHeight="1" x14ac:dyDescent="0.35">
      <c r="H194" s="172" t="s">
        <v>1082</v>
      </c>
      <c r="AE194" s="93" t="s">
        <v>759</v>
      </c>
    </row>
    <row r="195" spans="1:32" ht="31.5" customHeight="1" x14ac:dyDescent="0.35">
      <c r="H195" s="170" t="s">
        <v>316</v>
      </c>
      <c r="AE195" s="93" t="s">
        <v>759</v>
      </c>
    </row>
    <row r="196" spans="1:32" ht="31.5" customHeight="1" x14ac:dyDescent="0.35">
      <c r="H196" s="170" t="s">
        <v>1006</v>
      </c>
      <c r="AE196" s="93" t="s">
        <v>759</v>
      </c>
    </row>
    <row r="197" spans="1:32" ht="31.5" customHeight="1" x14ac:dyDescent="0.35">
      <c r="H197" s="170" t="s">
        <v>1009</v>
      </c>
      <c r="AE197" s="93" t="s">
        <v>759</v>
      </c>
    </row>
    <row r="198" spans="1:32" ht="31.5" customHeight="1" x14ac:dyDescent="0.35">
      <c r="H198" s="171" t="s">
        <v>1083</v>
      </c>
      <c r="AE198" s="93" t="s">
        <v>759</v>
      </c>
    </row>
    <row r="201" spans="1:32" ht="31.5" customHeight="1" x14ac:dyDescent="0.35">
      <c r="A201" s="736" t="s">
        <v>1084</v>
      </c>
      <c r="B201" s="737"/>
      <c r="C201" s="736"/>
      <c r="D201" s="738"/>
      <c r="E201" s="738"/>
      <c r="F201" s="736"/>
      <c r="G201" s="738"/>
      <c r="H201" s="739"/>
      <c r="I201" s="738"/>
      <c r="J201" s="738"/>
      <c r="K201" s="738"/>
      <c r="L201" s="738"/>
      <c r="M201" s="738"/>
      <c r="N201" s="738"/>
      <c r="O201" s="738"/>
      <c r="P201" s="738"/>
      <c r="Q201" s="738"/>
      <c r="R201" s="738"/>
      <c r="S201" s="738"/>
      <c r="T201" s="740"/>
      <c r="U201" s="741"/>
      <c r="V201" s="741"/>
      <c r="W201" s="741"/>
      <c r="X201" s="742"/>
      <c r="Y201" s="743"/>
      <c r="Z201" s="744"/>
      <c r="AA201" s="745"/>
      <c r="AB201" s="745"/>
      <c r="AC201" s="738"/>
      <c r="AD201" s="740"/>
      <c r="AE201" s="746"/>
      <c r="AF201" s="747"/>
    </row>
    <row r="202" spans="1:32" ht="31.5" customHeight="1" x14ac:dyDescent="0.35">
      <c r="H202" s="170" t="s">
        <v>1085</v>
      </c>
    </row>
    <row r="203" spans="1:32" ht="31.5" customHeight="1" x14ac:dyDescent="0.35">
      <c r="H203" s="170" t="s">
        <v>1086</v>
      </c>
    </row>
  </sheetData>
  <autoFilter ref="A1:AG103" xr:uid="{00000000-0009-0000-0000-000003000000}"/>
  <mergeCells count="5">
    <mergeCell ref="A108:AF108"/>
    <mergeCell ref="A201:AF201"/>
    <mergeCell ref="H49:H50"/>
    <mergeCell ref="A62:A63"/>
    <mergeCell ref="A21:A22"/>
  </mergeCells>
  <conditionalFormatting sqref="F3:F4">
    <cfRule type="dataBar" priority="2">
      <dataBar>
        <cfvo type="min"/>
        <cfvo type="max"/>
        <color rgb="FF92D050"/>
      </dataBar>
    </cfRule>
  </conditionalFormatting>
  <conditionalFormatting sqref="F17:F19">
    <cfRule type="dataBar" priority="1">
      <dataBar>
        <cfvo type="min"/>
        <cfvo type="max"/>
        <color rgb="FF92D050"/>
      </dataBar>
    </cfRule>
  </conditionalFormatting>
  <conditionalFormatting sqref="F38">
    <cfRule type="dataBar" priority="7">
      <dataBar>
        <cfvo type="min"/>
        <cfvo type="max"/>
        <color rgb="FF92D050"/>
      </dataBar>
    </cfRule>
  </conditionalFormatting>
  <conditionalFormatting sqref="F45">
    <cfRule type="dataBar" priority="18">
      <dataBar>
        <cfvo type="min"/>
        <cfvo type="max"/>
        <color rgb="FF92D050"/>
      </dataBar>
    </cfRule>
  </conditionalFormatting>
  <conditionalFormatting sqref="F58">
    <cfRule type="dataBar" priority="16">
      <dataBar>
        <cfvo type="min"/>
        <cfvo type="max"/>
        <color rgb="FF92D050"/>
      </dataBar>
    </cfRule>
  </conditionalFormatting>
  <conditionalFormatting sqref="F74:F75">
    <cfRule type="dataBar" priority="24">
      <dataBar>
        <cfvo type="min"/>
        <cfvo type="max"/>
        <color rgb="FF92D050"/>
      </dataBar>
    </cfRule>
  </conditionalFormatting>
  <conditionalFormatting sqref="F76">
    <cfRule type="dataBar" priority="26">
      <dataBar>
        <cfvo type="min"/>
        <cfvo type="max"/>
        <color rgb="FF92D050"/>
      </dataBar>
    </cfRule>
  </conditionalFormatting>
  <conditionalFormatting sqref="F77:F78">
    <cfRule type="dataBar" priority="17">
      <dataBar>
        <cfvo type="min"/>
        <cfvo type="max"/>
        <color rgb="FF92D050"/>
      </dataBar>
    </cfRule>
  </conditionalFormatting>
  <conditionalFormatting sqref="F80">
    <cfRule type="dataBar" priority="8">
      <dataBar>
        <cfvo type="min"/>
        <cfvo type="max"/>
        <color rgb="FF92D050"/>
      </dataBar>
    </cfRule>
  </conditionalFormatting>
  <conditionalFormatting sqref="F81">
    <cfRule type="dataBar" priority="20">
      <dataBar>
        <cfvo type="min"/>
        <cfvo type="max"/>
        <color rgb="FF92D050"/>
      </dataBar>
    </cfRule>
  </conditionalFormatting>
  <conditionalFormatting sqref="F82">
    <cfRule type="dataBar" priority="10">
      <dataBar>
        <cfvo type="min"/>
        <cfvo type="max"/>
        <color rgb="FF92D050"/>
      </dataBar>
    </cfRule>
  </conditionalFormatting>
  <conditionalFormatting sqref="F83">
    <cfRule type="dataBar" priority="21">
      <dataBar>
        <cfvo type="min"/>
        <cfvo type="max"/>
        <color rgb="FF92D050"/>
      </dataBar>
    </cfRule>
  </conditionalFormatting>
  <conditionalFormatting sqref="F85">
    <cfRule type="dataBar" priority="22">
      <dataBar>
        <cfvo type="min"/>
        <cfvo type="max"/>
        <color rgb="FF92D050"/>
      </dataBar>
    </cfRule>
  </conditionalFormatting>
  <conditionalFormatting sqref="F89:F90">
    <cfRule type="dataBar" priority="23">
      <dataBar>
        <cfvo type="min"/>
        <cfvo type="max"/>
        <color rgb="FF92D050"/>
      </dataBar>
    </cfRule>
  </conditionalFormatting>
  <conditionalFormatting sqref="F95">
    <cfRule type="dataBar" priority="25">
      <dataBar>
        <cfvo type="min"/>
        <cfvo type="max"/>
        <color rgb="FF92D050"/>
      </dataBar>
    </cfRule>
  </conditionalFormatting>
  <conditionalFormatting sqref="F102">
    <cfRule type="dataBar" priority="12">
      <dataBar>
        <cfvo type="min"/>
        <cfvo type="max"/>
        <color rgb="FF92D050"/>
      </dataBar>
    </cfRule>
  </conditionalFormatting>
  <conditionalFormatting sqref="F6:G10">
    <cfRule type="dataBar" priority="4">
      <dataBar>
        <cfvo type="min"/>
        <cfvo type="max"/>
        <color rgb="FF92D050"/>
      </dataBar>
    </cfRule>
  </conditionalFormatting>
  <conditionalFormatting sqref="F11:G11 F12 F13:G14">
    <cfRule type="dataBar" priority="3">
      <dataBar>
        <cfvo type="min"/>
        <cfvo type="max"/>
        <color rgb="FF92D050"/>
      </dataBar>
    </cfRule>
  </conditionalFormatting>
  <conditionalFormatting sqref="F15:G16 F21:G33 F35:G37 F39:G44 F46:G52 F54:G57 F59:G69 F79:G79 F84:G84 F86:G88 F97:G97">
    <cfRule type="dataBar" priority="30">
      <dataBar>
        <cfvo type="min"/>
        <cfvo type="max"/>
        <color rgb="FF92D050"/>
      </dataBar>
    </cfRule>
  </conditionalFormatting>
  <conditionalFormatting sqref="F70:G70">
    <cfRule type="dataBar" priority="14">
      <dataBar>
        <cfvo type="min"/>
        <cfvo type="max"/>
        <color rgb="FF92D050"/>
      </dataBar>
    </cfRule>
  </conditionalFormatting>
  <conditionalFormatting sqref="F71:G71">
    <cfRule type="dataBar" priority="9">
      <dataBar>
        <cfvo type="min"/>
        <cfvo type="max"/>
        <color rgb="FF92D050"/>
      </dataBar>
    </cfRule>
  </conditionalFormatting>
  <conditionalFormatting sqref="F72:G72">
    <cfRule type="dataBar" priority="6">
      <dataBar>
        <cfvo type="min"/>
        <cfvo type="max"/>
        <color rgb="FF92D050"/>
      </dataBar>
    </cfRule>
  </conditionalFormatting>
  <conditionalFormatting sqref="F73:G73 G74:G75">
    <cfRule type="dataBar" priority="31">
      <dataBar>
        <cfvo type="min"/>
        <cfvo type="max"/>
        <color rgb="FF92D050"/>
      </dataBar>
    </cfRule>
  </conditionalFormatting>
  <conditionalFormatting sqref="F91:G92">
    <cfRule type="dataBar" priority="29">
      <dataBar>
        <cfvo type="min"/>
        <cfvo type="max"/>
        <color rgb="FF92D050"/>
      </dataBar>
    </cfRule>
  </conditionalFormatting>
  <conditionalFormatting sqref="F93:G93">
    <cfRule type="dataBar" priority="28">
      <dataBar>
        <cfvo type="min"/>
        <cfvo type="max"/>
        <color rgb="FF92D050"/>
      </dataBar>
    </cfRule>
  </conditionalFormatting>
  <conditionalFormatting sqref="F96:G96">
    <cfRule type="dataBar" priority="15">
      <dataBar>
        <cfvo type="min"/>
        <cfvo type="max"/>
        <color rgb="FF92D050"/>
      </dataBar>
    </cfRule>
  </conditionalFormatting>
  <conditionalFormatting sqref="F99:G99">
    <cfRule type="dataBar" priority="5">
      <dataBar>
        <cfvo type="min"/>
        <cfvo type="max"/>
        <color rgb="FF92D050"/>
      </dataBar>
    </cfRule>
  </conditionalFormatting>
  <conditionalFormatting sqref="F100:G100">
    <cfRule type="dataBar" priority="13">
      <dataBar>
        <cfvo type="min"/>
        <cfvo type="max"/>
        <color rgb="FF92D050"/>
      </dataBar>
    </cfRule>
  </conditionalFormatting>
  <conditionalFormatting sqref="F101:G101">
    <cfRule type="dataBar" priority="27">
      <dataBar>
        <cfvo type="min"/>
        <cfvo type="max"/>
        <color rgb="FF92D050"/>
      </dataBar>
    </cfRule>
  </conditionalFormatting>
  <conditionalFormatting sqref="G45">
    <cfRule type="dataBar" priority="19">
      <dataBar>
        <cfvo type="min"/>
        <cfvo type="max"/>
        <color rgb="FF92D050"/>
      </dataBar>
    </cfRule>
  </conditionalFormatting>
  <conditionalFormatting sqref="G102">
    <cfRule type="dataBar" priority="11">
      <dataBar>
        <cfvo type="min"/>
        <cfvo type="max"/>
        <color rgb="FF92D050"/>
      </dataBar>
    </cfRule>
  </conditionalFormatting>
  <hyperlinks>
    <hyperlink ref="J9" r:id="rId1" xr:uid="{00000000-0004-0000-0300-000000000000}"/>
    <hyperlink ref="J10" r:id="rId2" xr:uid="{00000000-0004-0000-0300-000001000000}"/>
    <hyperlink ref="M10" r:id="rId3" xr:uid="{00000000-0004-0000-0300-000002000000}"/>
    <hyperlink ref="X47" r:id="rId4" tooltip="Obter demonstração de liquidação de IRS" display="https://irs.portaldasfinancas.gov.pt/app/consulta/liquidacao?anoExercicio=2022&amp;anoLiquidacao=2023&amp;tipoIR=5&amp;numLiquidacao=4999389" xr:uid="{00000000-0004-0000-0300-000003000000}"/>
    <hyperlink ref="X99" r:id="rId5" tooltip="Obter demonstração de liquidação de IRS" display="https://irs.portaldasfinancas.gov.pt/app/consulta/liquidacao?anoExercicio=2022&amp;anoLiquidacao=2023&amp;tipoIR=5&amp;numLiquidacao=6080278" xr:uid="{00000000-0004-0000-0300-000004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Planilha2</vt:lpstr>
      <vt:lpstr>IRS 2025</vt:lpstr>
      <vt:lpstr>NÃO</vt:lpstr>
      <vt:lpstr>IRS 2023 OLD</vt:lpstr>
      <vt:lpstr>IRS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Windows</dc:creator>
  <cp:lastModifiedBy>João Santos Pinto</cp:lastModifiedBy>
  <cp:lastPrinted>2020-11-30T16:17:08Z</cp:lastPrinted>
  <dcterms:created xsi:type="dcterms:W3CDTF">2019-01-30T15:55:20Z</dcterms:created>
  <dcterms:modified xsi:type="dcterms:W3CDTF">2026-06-14T11:17:20Z</dcterms:modified>
</cp:coreProperties>
</file>